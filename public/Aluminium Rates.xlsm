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3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rstark/Downloads/"/>
    </mc:Choice>
  </mc:AlternateContent>
  <xr:revisionPtr revIDLastSave="0" documentId="13_ncr:1_{BF12082F-725C-7648-BFC2-A621D6142823}" xr6:coauthVersionLast="47" xr6:coauthVersionMax="47" xr10:uidLastSave="{00000000-0000-0000-0000-000000000000}"/>
  <bookViews>
    <workbookView xWindow="0" yWindow="740" windowWidth="29400" windowHeight="17140" xr2:uid="{00000000-000D-0000-FFFF-FFFF00000000}"/>
  </bookViews>
  <sheets>
    <sheet name="Aluminium Door" sheetId="10" r:id="rId1"/>
    <sheet name="2 Track Window" sheetId="8" r:id="rId2"/>
    <sheet name="3 Track Window" sheetId="9" r:id="rId3"/>
  </sheets>
  <definedNames>
    <definedName name="_xlnm.Print_Area" localSheetId="1">'2 Track Window'!$A$1:$G$32</definedName>
    <definedName name="_xlnm.Print_Area" localSheetId="2">'3 Track Window'!$A$1:$G$32</definedName>
    <definedName name="_xlnm.Print_Area" localSheetId="0">'Aluminium Door'!$A$1:$G$34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8" l="1"/>
  <c r="N3" i="8" s="1"/>
  <c r="B17" i="10"/>
  <c r="D17" i="10"/>
  <c r="N21" i="10"/>
  <c r="F21" i="10"/>
  <c r="D21" i="10"/>
  <c r="B21" i="10"/>
  <c r="A21" i="10"/>
  <c r="F20" i="10"/>
  <c r="D20" i="10"/>
  <c r="B20" i="10"/>
  <c r="A20" i="10"/>
  <c r="F17" i="10"/>
  <c r="A17" i="10"/>
  <c r="F16" i="10"/>
  <c r="D16" i="10"/>
  <c r="B16" i="10"/>
  <c r="A16" i="10"/>
  <c r="F15" i="10"/>
  <c r="D15" i="10"/>
  <c r="B15" i="10"/>
  <c r="A15" i="10"/>
  <c r="F13" i="10"/>
  <c r="D13" i="10"/>
  <c r="L3" i="10"/>
  <c r="A22" i="10" s="1"/>
  <c r="J3" i="10"/>
  <c r="A23" i="10" s="1"/>
  <c r="L2" i="10"/>
  <c r="J2" i="10"/>
  <c r="C14" i="8" l="1"/>
  <c r="N5" i="8"/>
  <c r="P5" i="8" s="1"/>
  <c r="G16" i="8" s="1"/>
  <c r="B10" i="10"/>
  <c r="E16" i="10"/>
  <c r="K2" i="10"/>
  <c r="G20" i="10" s="1"/>
  <c r="G16" i="10"/>
  <c r="B9" i="10"/>
  <c r="B11" i="10"/>
  <c r="C16" i="10"/>
  <c r="G21" i="10" l="1"/>
  <c r="C20" i="10"/>
  <c r="E20" i="10"/>
  <c r="G15" i="10"/>
  <c r="F18" i="10" s="1"/>
  <c r="E15" i="10"/>
  <c r="D18" i="10" s="1"/>
  <c r="C21" i="10"/>
  <c r="C15" i="10"/>
  <c r="B18" i="10" s="1"/>
  <c r="E21" i="10"/>
  <c r="N20" i="9"/>
  <c r="N20" i="8"/>
  <c r="B12" i="9" l="1"/>
  <c r="F19" i="9"/>
  <c r="D19" i="9"/>
  <c r="B19" i="9"/>
  <c r="A19" i="9"/>
  <c r="G17" i="9"/>
  <c r="F17" i="9"/>
  <c r="A16" i="9"/>
  <c r="G15" i="9"/>
  <c r="F15" i="9"/>
  <c r="A14" i="9"/>
  <c r="F12" i="9"/>
  <c r="D12" i="9"/>
  <c r="L3" i="9"/>
  <c r="A22" i="9" s="1"/>
  <c r="J3" i="9"/>
  <c r="A23" i="9" s="1"/>
  <c r="L2" i="9"/>
  <c r="J2" i="9"/>
  <c r="F20" i="8"/>
  <c r="D20" i="8"/>
  <c r="B20" i="8"/>
  <c r="A20" i="8"/>
  <c r="F19" i="8"/>
  <c r="D19" i="8"/>
  <c r="B19" i="8"/>
  <c r="A19" i="8"/>
  <c r="G17" i="8"/>
  <c r="F17" i="8"/>
  <c r="A16" i="8"/>
  <c r="G15" i="8"/>
  <c r="F15" i="8"/>
  <c r="A14" i="8"/>
  <c r="F12" i="8"/>
  <c r="D12" i="8"/>
  <c r="L3" i="8"/>
  <c r="J3" i="8"/>
  <c r="L2" i="8"/>
  <c r="J2" i="8"/>
  <c r="B9" i="8" l="1"/>
  <c r="A22" i="8"/>
  <c r="B10" i="9"/>
  <c r="K2" i="9"/>
  <c r="B9" i="9"/>
  <c r="K2" i="8"/>
  <c r="A23" i="8"/>
  <c r="B10" i="8"/>
  <c r="G20" i="8" l="1"/>
  <c r="G19" i="8"/>
  <c r="J4" i="8"/>
  <c r="P3" i="8" s="1"/>
  <c r="F14" i="8" s="1"/>
  <c r="C19" i="8"/>
  <c r="E19" i="9"/>
  <c r="G19" i="9"/>
  <c r="C19" i="9"/>
  <c r="J4" i="9"/>
  <c r="L4" i="9" s="1"/>
  <c r="N3" i="9" s="1"/>
  <c r="C20" i="8"/>
  <c r="E20" i="8"/>
  <c r="E19" i="8"/>
  <c r="B14" i="9" l="1"/>
  <c r="N5" i="9"/>
  <c r="O3" i="9"/>
  <c r="C14" i="9"/>
  <c r="P3" i="9"/>
  <c r="G14" i="8"/>
  <c r="O3" i="8"/>
  <c r="B16" i="8"/>
  <c r="B14" i="8"/>
  <c r="E14" i="9" l="1"/>
  <c r="D14" i="9"/>
  <c r="B16" i="9"/>
  <c r="O5" i="9"/>
  <c r="C16" i="9"/>
  <c r="P5" i="9"/>
  <c r="F14" i="9"/>
  <c r="G14" i="9"/>
  <c r="C16" i="8"/>
  <c r="O5" i="8"/>
  <c r="E16" i="8" s="1"/>
  <c r="E14" i="8"/>
  <c r="D14" i="8"/>
  <c r="E16" i="9" l="1"/>
  <c r="D16" i="9"/>
  <c r="F16" i="9"/>
  <c r="G16" i="9"/>
  <c r="D16" i="8"/>
  <c r="F16" i="8"/>
</calcChain>
</file>

<file path=xl/sharedStrings.xml><?xml version="1.0" encoding="utf-8"?>
<sst xmlns="http://schemas.openxmlformats.org/spreadsheetml/2006/main" count="108" uniqueCount="42">
  <si>
    <t>Height</t>
  </si>
  <si>
    <t>Width</t>
  </si>
  <si>
    <t>X</t>
  </si>
  <si>
    <t>1.2 MM</t>
  </si>
  <si>
    <t>1.6 MM</t>
  </si>
  <si>
    <t>1.2 MM Hindalco</t>
  </si>
  <si>
    <t>Door</t>
  </si>
  <si>
    <t>Total</t>
  </si>
  <si>
    <t>Please Fill In The Sizes -</t>
  </si>
  <si>
    <t>Area</t>
  </si>
  <si>
    <t>System Output</t>
  </si>
  <si>
    <t>Control Panel</t>
  </si>
  <si>
    <t>Accessories</t>
  </si>
  <si>
    <t>Décor Film</t>
  </si>
  <si>
    <t>Add-ons</t>
  </si>
  <si>
    <t xml:space="preserve">Thickness - </t>
  </si>
  <si>
    <t xml:space="preserve">Area - </t>
  </si>
  <si>
    <t xml:space="preserve">Size - </t>
  </si>
  <si>
    <t xml:space="preserve">Chaukhat - </t>
  </si>
  <si>
    <t>Chaukhat</t>
  </si>
  <si>
    <t xml:space="preserve">Inch - </t>
  </si>
  <si>
    <t xml:space="preserve">Soot - </t>
  </si>
  <si>
    <t>Operator Input</t>
  </si>
  <si>
    <t>Fixed</t>
  </si>
  <si>
    <t>Pass - 123456789</t>
  </si>
  <si>
    <t>Bathroom Aluminium Door With Chaukhat</t>
  </si>
  <si>
    <t>4 MM Clear &amp; Texture Glass</t>
  </si>
  <si>
    <t>4 MM Reflective Glass</t>
  </si>
  <si>
    <t>SS Net</t>
  </si>
  <si>
    <t>Rates According To Area</t>
  </si>
  <si>
    <t>Custom Price</t>
  </si>
  <si>
    <t>Results</t>
  </si>
  <si>
    <t>3 Track Aluminium Sliding Window With Half SS Net</t>
  </si>
  <si>
    <t>1.2 mm</t>
  </si>
  <si>
    <t>1.6 mm</t>
  </si>
  <si>
    <t>1.2 mm Hindalco</t>
  </si>
  <si>
    <t>2 Track Aluminium Sliding Window</t>
  </si>
  <si>
    <t>Full SS Net</t>
  </si>
  <si>
    <t>Brown Coated</t>
  </si>
  <si>
    <t>Minimum Bill Size</t>
  </si>
  <si>
    <t>Approved Name -</t>
  </si>
  <si>
    <t>PDF Name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</si>
</sst>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Amazon Ember"/>
      <family val="2"/>
    </font>
    <font>
      <sz val="48"/>
      <color theme="1"/>
      <name val="Amazon Ember"/>
      <family val="2"/>
    </font>
    <font>
      <b/>
      <sz val="14"/>
      <color theme="1"/>
      <name val="Amazon Ember"/>
      <family val="2"/>
    </font>
    <font>
      <sz val="10"/>
      <color theme="0" tint="-4.9989318521683403E-2"/>
      <name val="Amazon Ember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8AFF4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5B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2" fillId="7" borderId="2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2" fillId="7" borderId="7" xfId="0" applyFont="1" applyFill="1" applyBorder="1" applyAlignment="1" applyProtection="1">
      <alignment horizontal="center" vertical="center"/>
      <protection hidden="1"/>
    </xf>
    <xf numFmtId="0" fontId="2" fillId="3" borderId="7" xfId="0" applyFont="1" applyFill="1" applyBorder="1" applyAlignment="1" applyProtection="1">
      <alignment horizontal="center"/>
      <protection hidden="1"/>
    </xf>
    <xf numFmtId="0" fontId="2" fillId="3" borderId="2" xfId="0" applyFont="1" applyFill="1" applyBorder="1" applyAlignment="1" applyProtection="1">
      <alignment horizontal="center"/>
      <protection hidden="1"/>
    </xf>
    <xf numFmtId="0" fontId="2" fillId="3" borderId="6" xfId="0" applyFont="1" applyFill="1" applyBorder="1" applyAlignment="1" applyProtection="1">
      <alignment horizontal="center"/>
      <protection hidden="1"/>
    </xf>
    <xf numFmtId="0" fontId="2" fillId="4" borderId="2" xfId="0" applyFont="1" applyFill="1" applyBorder="1" applyAlignment="1" applyProtection="1">
      <alignment horizontal="center" vertical="center"/>
      <protection hidden="1"/>
    </xf>
    <xf numFmtId="0" fontId="2" fillId="4" borderId="8" xfId="0" applyFont="1" applyFill="1" applyBorder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164" fontId="2" fillId="4" borderId="2" xfId="0" applyNumberFormat="1" applyFont="1" applyFill="1" applyBorder="1" applyAlignment="1" applyProtection="1">
      <alignment horizontal="center" vertical="center"/>
      <protection hidden="1"/>
    </xf>
    <xf numFmtId="1" fontId="2" fillId="4" borderId="2" xfId="0" applyNumberFormat="1" applyFont="1" applyFill="1" applyBorder="1" applyAlignment="1" applyProtection="1">
      <alignment horizontal="center" vertical="center"/>
      <protection hidden="1"/>
    </xf>
    <xf numFmtId="0" fontId="2" fillId="5" borderId="7" xfId="0" applyFont="1" applyFill="1" applyBorder="1" applyProtection="1">
      <protection hidden="1"/>
    </xf>
    <xf numFmtId="0" fontId="2" fillId="7" borderId="2" xfId="0" applyFont="1" applyFill="1" applyBorder="1" applyProtection="1">
      <protection hidden="1"/>
    </xf>
    <xf numFmtId="164" fontId="2" fillId="3" borderId="7" xfId="0" applyNumberFormat="1" applyFont="1" applyFill="1" applyBorder="1" applyAlignment="1" applyProtection="1">
      <alignment horizontal="center"/>
      <protection hidden="1"/>
    </xf>
    <xf numFmtId="0" fontId="2" fillId="0" borderId="0" xfId="0" applyFont="1" applyProtection="1">
      <protection hidden="1"/>
    </xf>
    <xf numFmtId="0" fontId="2" fillId="5" borderId="2" xfId="0" applyFont="1" applyFill="1" applyBorder="1" applyAlignment="1" applyProtection="1">
      <alignment horizontal="right"/>
      <protection hidden="1"/>
    </xf>
    <xf numFmtId="0" fontId="2" fillId="6" borderId="0" xfId="0" applyFont="1" applyFill="1" applyAlignment="1" applyProtection="1">
      <alignment horizontal="right"/>
      <protection hidden="1"/>
    </xf>
    <xf numFmtId="0" fontId="3" fillId="0" borderId="0" xfId="0" applyFont="1" applyAlignment="1" applyProtection="1">
      <alignment vertical="center"/>
      <protection hidden="1"/>
    </xf>
    <xf numFmtId="0" fontId="5" fillId="0" borderId="0" xfId="0" applyFont="1" applyAlignment="1" applyProtection="1">
      <alignment horizontal="right"/>
      <protection hidden="1"/>
    </xf>
    <xf numFmtId="0" fontId="5" fillId="0" borderId="1" xfId="0" applyFont="1" applyBorder="1" applyAlignment="1" applyProtection="1">
      <alignment horizontal="right" textRotation="255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left"/>
      <protection hidden="1"/>
    </xf>
    <xf numFmtId="0" fontId="5" fillId="0" borderId="0" xfId="0" applyFont="1" applyAlignment="1" applyProtection="1">
      <alignment horizontal="right" textRotation="255"/>
      <protection hidden="1"/>
    </xf>
    <xf numFmtId="1" fontId="2" fillId="5" borderId="2" xfId="0" applyNumberFormat="1" applyFont="1" applyFill="1" applyBorder="1" applyAlignment="1" applyProtection="1">
      <alignment horizontal="right"/>
      <protection hidden="1"/>
    </xf>
    <xf numFmtId="1" fontId="2" fillId="6" borderId="7" xfId="0" applyNumberFormat="1" applyFont="1" applyFill="1" applyBorder="1" applyAlignment="1" applyProtection="1">
      <alignment horizontal="right"/>
      <protection hidden="1"/>
    </xf>
    <xf numFmtId="1" fontId="2" fillId="5" borderId="6" xfId="0" applyNumberFormat="1" applyFont="1" applyFill="1" applyBorder="1" applyProtection="1">
      <protection hidden="1"/>
    </xf>
    <xf numFmtId="0" fontId="2" fillId="5" borderId="2" xfId="0" applyFont="1" applyFill="1" applyBorder="1" applyProtection="1">
      <protection hidden="1"/>
    </xf>
    <xf numFmtId="0" fontId="5" fillId="0" borderId="0" xfId="0" applyFont="1" applyAlignment="1" applyProtection="1">
      <alignment horizontal="right"/>
      <protection locked="0" hidden="1"/>
    </xf>
    <xf numFmtId="1" fontId="2" fillId="6" borderId="7" xfId="0" applyNumberFormat="1" applyFont="1" applyFill="1" applyBorder="1" applyProtection="1">
      <protection hidden="1"/>
    </xf>
    <xf numFmtId="0" fontId="2" fillId="4" borderId="2" xfId="0" applyFont="1" applyFill="1" applyBorder="1" applyAlignment="1" applyProtection="1">
      <alignment horizontal="center" vertical="center" wrapText="1"/>
      <protection hidden="1"/>
    </xf>
    <xf numFmtId="0" fontId="2" fillId="5" borderId="5" xfId="0" applyFont="1" applyFill="1" applyBorder="1" applyAlignment="1" applyProtection="1">
      <alignment vertical="center" wrapText="1"/>
      <protection hidden="1"/>
    </xf>
    <xf numFmtId="0" fontId="2" fillId="6" borderId="7" xfId="0" applyFont="1" applyFill="1" applyBorder="1" applyAlignment="1" applyProtection="1">
      <alignment vertical="center" wrapText="1"/>
      <protection hidden="1"/>
    </xf>
    <xf numFmtId="0" fontId="2" fillId="5" borderId="2" xfId="0" applyFont="1" applyFill="1" applyBorder="1" applyAlignment="1" applyProtection="1">
      <alignment horizontal="right" vertical="center" wrapText="1"/>
      <protection hidden="1"/>
    </xf>
    <xf numFmtId="1" fontId="2" fillId="5" borderId="2" xfId="0" applyNumberFormat="1" applyFont="1" applyFill="1" applyBorder="1" applyAlignment="1" applyProtection="1">
      <alignment horizontal="right" wrapText="1"/>
      <protection hidden="1"/>
    </xf>
    <xf numFmtId="1" fontId="2" fillId="5" borderId="6" xfId="0" applyNumberFormat="1" applyFont="1" applyFill="1" applyBorder="1" applyAlignment="1" applyProtection="1">
      <alignment vertical="center" wrapText="1"/>
      <protection hidden="1"/>
    </xf>
    <xf numFmtId="1" fontId="2" fillId="6" borderId="7" xfId="0" applyNumberFormat="1" applyFont="1" applyFill="1" applyBorder="1" applyAlignment="1" applyProtection="1">
      <alignment vertical="center" wrapText="1"/>
      <protection hidden="1"/>
    </xf>
    <xf numFmtId="0" fontId="4" fillId="7" borderId="2" xfId="0" applyFont="1" applyFill="1" applyBorder="1" applyAlignment="1" applyProtection="1">
      <alignment horizontal="center" vertical="center"/>
      <protection hidden="1"/>
    </xf>
    <xf numFmtId="0" fontId="4" fillId="7" borderId="4" xfId="0" applyFont="1" applyFill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4" fillId="9" borderId="2" xfId="0" applyFont="1" applyFill="1" applyBorder="1" applyAlignment="1" applyProtection="1">
      <alignment horizontal="center"/>
      <protection locked="0" hidden="1"/>
    </xf>
    <xf numFmtId="0" fontId="4" fillId="2" borderId="2" xfId="0" applyFont="1" applyFill="1" applyBorder="1" applyAlignment="1" applyProtection="1">
      <alignment horizontal="center"/>
      <protection hidden="1"/>
    </xf>
    <xf numFmtId="0" fontId="2" fillId="0" borderId="0" xfId="0" applyFont="1" applyAlignment="1" applyProtection="1">
      <alignment horizontal="right"/>
      <protection hidden="1"/>
    </xf>
    <xf numFmtId="0" fontId="4" fillId="7" borderId="2" xfId="0" applyFont="1" applyFill="1" applyBorder="1" applyAlignment="1" applyProtection="1">
      <alignment horizontal="right" vertical="center"/>
      <protection hidden="1"/>
    </xf>
    <xf numFmtId="0" fontId="2" fillId="4" borderId="2" xfId="0" applyFont="1" applyFill="1" applyBorder="1" applyAlignment="1" applyProtection="1">
      <alignment horizontal="right" vertical="center"/>
      <protection hidden="1"/>
    </xf>
    <xf numFmtId="0" fontId="2" fillId="2" borderId="2" xfId="0" applyFont="1" applyFill="1" applyBorder="1" applyProtection="1">
      <protection hidden="1"/>
    </xf>
    <xf numFmtId="0" fontId="2" fillId="7" borderId="6" xfId="0" applyFont="1" applyFill="1" applyBorder="1" applyAlignment="1" applyProtection="1">
      <alignment horizontal="center" vertical="center"/>
      <protection hidden="1"/>
    </xf>
    <xf numFmtId="0" fontId="2" fillId="7" borderId="5" xfId="0" applyFont="1" applyFill="1" applyBorder="1" applyAlignment="1" applyProtection="1">
      <alignment horizontal="center" vertical="center"/>
      <protection hidden="1"/>
    </xf>
    <xf numFmtId="0" fontId="2" fillId="7" borderId="7" xfId="0" applyFont="1" applyFill="1" applyBorder="1" applyAlignment="1" applyProtection="1">
      <alignment horizontal="center" vertical="center"/>
      <protection hidden="1"/>
    </xf>
    <xf numFmtId="0" fontId="2" fillId="3" borderId="2" xfId="0" applyFont="1" applyFill="1" applyBorder="1" applyProtection="1">
      <protection hidden="1"/>
    </xf>
    <xf numFmtId="0" fontId="2" fillId="3" borderId="6" xfId="0" applyFont="1" applyFill="1" applyBorder="1" applyProtection="1">
      <protection hidden="1"/>
    </xf>
    <xf numFmtId="0" fontId="2" fillId="4" borderId="2" xfId="0" applyFont="1" applyFill="1" applyBorder="1" applyProtection="1">
      <protection hidden="1"/>
    </xf>
    <xf numFmtId="0" fontId="2" fillId="4" borderId="6" xfId="0" applyFont="1" applyFill="1" applyBorder="1" applyProtection="1">
      <protection hidden="1"/>
    </xf>
    <xf numFmtId="0" fontId="2" fillId="5" borderId="2" xfId="0" applyFont="1" applyFill="1" applyBorder="1" applyAlignment="1" applyProtection="1">
      <alignment horizontal="left" wrapText="1"/>
      <protection hidden="1"/>
    </xf>
    <xf numFmtId="0" fontId="2" fillId="3" borderId="6" xfId="0" applyFont="1" applyFill="1" applyBorder="1" applyAlignment="1" applyProtection="1">
      <alignment horizontal="center"/>
      <protection hidden="1"/>
    </xf>
    <xf numFmtId="0" fontId="2" fillId="3" borderId="7" xfId="0" applyFont="1" applyFill="1" applyBorder="1" applyAlignment="1" applyProtection="1">
      <alignment horizontal="center"/>
      <protection hidden="1"/>
    </xf>
    <xf numFmtId="0" fontId="2" fillId="5" borderId="2" xfId="0" applyFont="1" applyFill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/>
      <protection hidden="1"/>
    </xf>
    <xf numFmtId="0" fontId="2" fillId="6" borderId="2" xfId="0" applyFont="1" applyFill="1" applyBorder="1" applyAlignment="1" applyProtection="1">
      <alignment horizontal="center"/>
      <protection hidden="1"/>
    </xf>
    <xf numFmtId="0" fontId="4" fillId="7" borderId="2" xfId="0" applyFont="1" applyFill="1" applyBorder="1" applyAlignment="1" applyProtection="1">
      <alignment horizontal="center" vertical="center"/>
      <protection hidden="1"/>
    </xf>
    <xf numFmtId="1" fontId="2" fillId="6" borderId="6" xfId="0" applyNumberFormat="1" applyFont="1" applyFill="1" applyBorder="1" applyProtection="1">
      <protection hidden="1"/>
    </xf>
    <xf numFmtId="1" fontId="2" fillId="6" borderId="7" xfId="0" applyNumberFormat="1" applyFont="1" applyFill="1" applyBorder="1" applyProtection="1">
      <protection hidden="1"/>
    </xf>
    <xf numFmtId="1" fontId="4" fillId="6" borderId="6" xfId="0" applyNumberFormat="1" applyFont="1" applyFill="1" applyBorder="1" applyProtection="1">
      <protection hidden="1"/>
    </xf>
    <xf numFmtId="1" fontId="4" fillId="6" borderId="7" xfId="0" applyNumberFormat="1" applyFont="1" applyFill="1" applyBorder="1" applyProtection="1">
      <protection hidden="1"/>
    </xf>
    <xf numFmtId="0" fontId="2" fillId="8" borderId="2" xfId="0" applyFont="1" applyFill="1" applyBorder="1" applyAlignment="1" applyProtection="1">
      <alignment horizontal="left" vertical="center"/>
      <protection hidden="1"/>
    </xf>
    <xf numFmtId="0" fontId="4" fillId="9" borderId="2" xfId="0" applyFont="1" applyFill="1" applyBorder="1" applyAlignment="1" applyProtection="1">
      <alignment horizontal="center"/>
      <protection locked="0" hidden="1"/>
    </xf>
    <xf numFmtId="0" fontId="2" fillId="3" borderId="5" xfId="0" applyFont="1" applyFill="1" applyBorder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right" vertical="center" indent="2"/>
      <protection hidden="1"/>
    </xf>
    <xf numFmtId="0" fontId="2" fillId="3" borderId="2" xfId="0" applyFont="1" applyFill="1" applyBorder="1" applyAlignment="1" applyProtection="1">
      <alignment horizontal="center"/>
      <protection hidden="1"/>
    </xf>
    <xf numFmtId="1" fontId="2" fillId="4" borderId="3" xfId="0" applyNumberFormat="1" applyFont="1" applyFill="1" applyBorder="1" applyAlignment="1" applyProtection="1">
      <alignment horizontal="right" vertical="center" wrapText="1"/>
      <protection hidden="1"/>
    </xf>
    <xf numFmtId="1" fontId="2" fillId="4" borderId="4" xfId="0" applyNumberFormat="1" applyFont="1" applyFill="1" applyBorder="1" applyAlignment="1" applyProtection="1">
      <alignment horizontal="right" vertical="center" wrapText="1"/>
      <protection hidden="1"/>
    </xf>
    <xf numFmtId="1" fontId="2" fillId="4" borderId="3" xfId="0" applyNumberFormat="1" applyFont="1" applyFill="1" applyBorder="1" applyAlignment="1" applyProtection="1">
      <alignment horizontal="center" vertical="center" wrapText="1"/>
      <protection hidden="1"/>
    </xf>
    <xf numFmtId="1" fontId="2" fillId="4" borderId="4" xfId="0" applyNumberFormat="1" applyFont="1" applyFill="1" applyBorder="1" applyAlignment="1" applyProtection="1">
      <alignment horizontal="center" vertical="center" wrapText="1"/>
      <protection hidden="1"/>
    </xf>
    <xf numFmtId="1" fontId="2" fillId="5" borderId="10" xfId="0" applyNumberFormat="1" applyFont="1" applyFill="1" applyBorder="1" applyAlignment="1" applyProtection="1">
      <alignment horizontal="left" vertical="center"/>
      <protection hidden="1"/>
    </xf>
    <xf numFmtId="1" fontId="2" fillId="5" borderId="11" xfId="0" applyNumberFormat="1" applyFont="1" applyFill="1" applyBorder="1" applyAlignment="1" applyProtection="1">
      <alignment horizontal="left" vertical="center"/>
      <protection hidden="1"/>
    </xf>
    <xf numFmtId="1" fontId="2" fillId="5" borderId="3" xfId="0" applyNumberFormat="1" applyFont="1" applyFill="1" applyBorder="1" applyAlignment="1" applyProtection="1">
      <alignment horizontal="right" vertical="center" wrapText="1"/>
      <protection hidden="1"/>
    </xf>
    <xf numFmtId="1" fontId="2" fillId="5" borderId="4" xfId="0" applyNumberFormat="1" applyFont="1" applyFill="1" applyBorder="1" applyAlignment="1" applyProtection="1">
      <alignment horizontal="right" vertical="center" wrapText="1"/>
      <protection hidden="1"/>
    </xf>
    <xf numFmtId="1" fontId="4" fillId="6" borderId="8" xfId="0" applyNumberFormat="1" applyFont="1" applyFill="1" applyBorder="1" applyAlignment="1" applyProtection="1">
      <alignment horizontal="right" vertical="center"/>
      <protection hidden="1"/>
    </xf>
    <xf numFmtId="1" fontId="4" fillId="6" borderId="9" xfId="0" applyNumberFormat="1" applyFont="1" applyFill="1" applyBorder="1" applyAlignment="1" applyProtection="1">
      <alignment horizontal="right" vertical="center"/>
      <protection hidden="1"/>
    </xf>
    <xf numFmtId="0" fontId="2" fillId="7" borderId="2" xfId="0" applyFont="1" applyFill="1" applyBorder="1" applyAlignment="1" applyProtection="1">
      <alignment horizontal="center" vertical="center"/>
      <protection hidden="1"/>
    </xf>
    <xf numFmtId="1" fontId="2" fillId="8" borderId="2" xfId="0" applyNumberFormat="1" applyFont="1" applyFill="1" applyBorder="1" applyAlignment="1" applyProtection="1">
      <alignment horizontal="left" vertical="center"/>
      <protection hidden="1"/>
    </xf>
    <xf numFmtId="0" fontId="2" fillId="5" borderId="3" xfId="0" applyFont="1" applyFill="1" applyBorder="1" applyAlignment="1" applyProtection="1">
      <alignment horizontal="right" vertical="center" wrapText="1"/>
      <protection hidden="1"/>
    </xf>
    <xf numFmtId="0" fontId="2" fillId="5" borderId="4" xfId="0" applyFont="1" applyFill="1" applyBorder="1" applyAlignment="1" applyProtection="1">
      <alignment horizontal="right" vertical="center" wrapText="1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1" fontId="2" fillId="5" borderId="1" xfId="0" applyNumberFormat="1" applyFont="1" applyFill="1" applyBorder="1" applyAlignment="1" applyProtection="1">
      <alignment horizontal="left" vertical="center"/>
      <protection hidden="1"/>
    </xf>
    <xf numFmtId="1" fontId="4" fillId="6" borderId="13" xfId="0" applyNumberFormat="1" applyFont="1" applyFill="1" applyBorder="1" applyAlignment="1" applyProtection="1">
      <alignment horizontal="right" vertical="center"/>
      <protection hidden="1"/>
    </xf>
    <xf numFmtId="0" fontId="2" fillId="5" borderId="12" xfId="0" applyFont="1" applyFill="1" applyBorder="1" applyAlignment="1" applyProtection="1">
      <alignment horizontal="right" vertical="center" wrapText="1"/>
      <protection hidden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5B"/>
      <color rgb="FF8AFF4F"/>
      <color rgb="FF53D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H$16" noThreeD="1"/>
</file>

<file path=xl/ctrlProps/ctrlProp2.xml><?xml version="1.0" encoding="utf-8"?>
<formControlPr xmlns="http://schemas.microsoft.com/office/spreadsheetml/2009/9/main" objectType="CheckBox" checked="Checked" fmlaLink="$H$17" noThreeD="1"/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g"/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15</xdr:row>
          <xdr:rowOff>12700</xdr:rowOff>
        </xdr:from>
        <xdr:to>
          <xdr:col>7</xdr:col>
          <xdr:colOff>317500</xdr:colOff>
          <xdr:row>16</xdr:row>
          <xdr:rowOff>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16</xdr:row>
          <xdr:rowOff>0</xdr:rowOff>
        </xdr:from>
        <xdr:to>
          <xdr:col>7</xdr:col>
          <xdr:colOff>317500</xdr:colOff>
          <xdr:row>17</xdr:row>
          <xdr:rowOff>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absolute">
    <xdr:from>
      <xdr:col>0</xdr:col>
      <xdr:colOff>2</xdr:colOff>
      <xdr:row>0</xdr:row>
      <xdr:rowOff>10890</xdr:rowOff>
    </xdr:from>
    <xdr:to>
      <xdr:col>3</xdr:col>
      <xdr:colOff>452729</xdr:colOff>
      <xdr:row>7</xdr:row>
      <xdr:rowOff>33625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0890"/>
          <a:ext cx="2653002" cy="162293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15</xdr:row>
      <xdr:rowOff>56030</xdr:rowOff>
    </xdr:from>
    <xdr:to>
      <xdr:col>11</xdr:col>
      <xdr:colOff>739587</xdr:colOff>
      <xdr:row>18</xdr:row>
      <xdr:rowOff>56030</xdr:rowOff>
    </xdr:to>
    <xdr:sp macro="[0]!printe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972175" y="3142130"/>
          <a:ext cx="2330262" cy="685800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800" b="1">
              <a:solidFill>
                <a:schemeClr val="bg1">
                  <a:lumMod val="8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PRINT</a:t>
          </a:r>
        </a:p>
      </xdr:txBody>
    </xdr:sp>
    <xdr:clientData/>
  </xdr:twoCellAnchor>
  <xdr:twoCellAnchor>
    <xdr:from>
      <xdr:col>1</xdr:col>
      <xdr:colOff>448234</xdr:colOff>
      <xdr:row>22</xdr:row>
      <xdr:rowOff>29451</xdr:rowOff>
    </xdr:from>
    <xdr:to>
      <xdr:col>4</xdr:col>
      <xdr:colOff>246528</xdr:colOff>
      <xdr:row>33</xdr:row>
      <xdr:rowOff>192181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705406" y="4801572"/>
          <a:ext cx="1696880" cy="2702730"/>
          <a:chOff x="1631673" y="4903304"/>
          <a:chExt cx="1298615" cy="2713384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grayscl/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sharpenSoften amount="99000"/>
                    </a14:imgEffect>
                    <a14:imgEffect>
                      <a14:brightnessContrast bright="-6000" contrast="1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726076" y="5005499"/>
            <a:ext cx="1204212" cy="2611189"/>
          </a:xfrm>
          <a:prstGeom prst="rect">
            <a:avLst/>
          </a:prstGeom>
        </xdr:spPr>
      </xdr:pic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CxnSpPr/>
        </xdr:nvCxnSpPr>
        <xdr:spPr>
          <a:xfrm flipH="1">
            <a:off x="1722782" y="4903304"/>
            <a:ext cx="1200978" cy="8282"/>
          </a:xfrm>
          <a:prstGeom prst="straightConnector1">
            <a:avLst/>
          </a:prstGeom>
          <a:ln w="12700">
            <a:solidFill>
              <a:schemeClr val="tx1"/>
            </a:solidFill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" name="Straight Arrow Connector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CxnSpPr/>
        </xdr:nvCxnSpPr>
        <xdr:spPr>
          <a:xfrm flipH="1">
            <a:off x="1631673" y="5014291"/>
            <a:ext cx="3314" cy="2597427"/>
          </a:xfrm>
          <a:prstGeom prst="straightConnector1">
            <a:avLst/>
          </a:prstGeom>
          <a:ln w="12700">
            <a:solidFill>
              <a:schemeClr val="tx1"/>
            </a:solidFill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11206</xdr:colOff>
      <xdr:row>18</xdr:row>
      <xdr:rowOff>112059</xdr:rowOff>
    </xdr:from>
    <xdr:to>
      <xdr:col>11</xdr:col>
      <xdr:colOff>739587</xdr:colOff>
      <xdr:row>22</xdr:row>
      <xdr:rowOff>78441</xdr:rowOff>
    </xdr:to>
    <xdr:sp macro="[0]!Save_Pdf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5983381" y="3883959"/>
          <a:ext cx="2319056" cy="928407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800" b="1">
              <a:solidFill>
                <a:schemeClr val="bg1">
                  <a:lumMod val="8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GENERATE PDF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1232645</xdr:colOff>
      <xdr:row>22</xdr:row>
      <xdr:rowOff>33615</xdr:rowOff>
    </xdr:from>
    <xdr:to>
      <xdr:col>4</xdr:col>
      <xdr:colOff>470646</xdr:colOff>
      <xdr:row>31</xdr:row>
      <xdr:rowOff>185117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1232645" y="4872315"/>
          <a:ext cx="2540001" cy="2208902"/>
          <a:chOff x="5587420" y="4686469"/>
          <a:chExt cx="2122227" cy="2269414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26206" y="4834062"/>
            <a:ext cx="1983441" cy="2121821"/>
          </a:xfrm>
          <a:prstGeom prst="rect">
            <a:avLst/>
          </a:prstGeom>
        </xdr:spPr>
      </xdr:pic>
      <xdr:cxnSp macro="">
        <xdr:nvCxnSpPr>
          <xdr:cNvPr id="9" name="Straight Arrow Connector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 flipV="1">
            <a:off x="5709304" y="4686469"/>
            <a:ext cx="1996873" cy="6497"/>
          </a:xfrm>
          <a:prstGeom prst="straightConnector1">
            <a:avLst/>
          </a:prstGeom>
          <a:ln w="12700"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/>
        </xdr:nvCxnSpPr>
        <xdr:spPr>
          <a:xfrm flipH="1">
            <a:off x="5587420" y="4857642"/>
            <a:ext cx="7396" cy="2085043"/>
          </a:xfrm>
          <a:prstGeom prst="straightConnector1">
            <a:avLst/>
          </a:prstGeom>
          <a:ln w="12700"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0</xdr:col>
      <xdr:colOff>2</xdr:colOff>
      <xdr:row>0</xdr:row>
      <xdr:rowOff>10890</xdr:rowOff>
    </xdr:from>
    <xdr:to>
      <xdr:col>3</xdr:col>
      <xdr:colOff>281718</xdr:colOff>
      <xdr:row>7</xdr:row>
      <xdr:rowOff>33625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0890"/>
          <a:ext cx="2643916" cy="1701376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14</xdr:row>
      <xdr:rowOff>56030</xdr:rowOff>
    </xdr:from>
    <xdr:to>
      <xdr:col>11</xdr:col>
      <xdr:colOff>739587</xdr:colOff>
      <xdr:row>17</xdr:row>
      <xdr:rowOff>56030</xdr:rowOff>
    </xdr:to>
    <xdr:sp macro="[0]!printe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5983941" y="3160059"/>
          <a:ext cx="2218764" cy="705971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800" b="1">
              <a:solidFill>
                <a:schemeClr val="bg1">
                  <a:lumMod val="8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PRINT</a:t>
          </a:r>
        </a:p>
      </xdr:txBody>
    </xdr:sp>
    <xdr:clientData/>
  </xdr:twoCellAnchor>
  <xdr:twoCellAnchor>
    <xdr:from>
      <xdr:col>9</xdr:col>
      <xdr:colOff>11206</xdr:colOff>
      <xdr:row>17</xdr:row>
      <xdr:rowOff>112058</xdr:rowOff>
    </xdr:from>
    <xdr:to>
      <xdr:col>11</xdr:col>
      <xdr:colOff>739587</xdr:colOff>
      <xdr:row>21</xdr:row>
      <xdr:rowOff>89646</xdr:rowOff>
    </xdr:to>
    <xdr:sp macro="[0]!Save_PdfWindow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995147" y="3922058"/>
          <a:ext cx="2207558" cy="918882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800" b="1">
              <a:solidFill>
                <a:schemeClr val="bg1">
                  <a:lumMod val="8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GENERATE PDF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</xdr:colOff>
      <xdr:row>0</xdr:row>
      <xdr:rowOff>10890</xdr:rowOff>
    </xdr:from>
    <xdr:to>
      <xdr:col>3</xdr:col>
      <xdr:colOff>281718</xdr:colOff>
      <xdr:row>7</xdr:row>
      <xdr:rowOff>33625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0890"/>
          <a:ext cx="2643916" cy="1701376"/>
        </a:xfrm>
        <a:prstGeom prst="rect">
          <a:avLst/>
        </a:prstGeom>
      </xdr:spPr>
    </xdr:pic>
    <xdr:clientData/>
  </xdr:twoCellAnchor>
  <xdr:twoCellAnchor>
    <xdr:from>
      <xdr:col>9</xdr:col>
      <xdr:colOff>11206</xdr:colOff>
      <xdr:row>14</xdr:row>
      <xdr:rowOff>56029</xdr:rowOff>
    </xdr:from>
    <xdr:to>
      <xdr:col>11</xdr:col>
      <xdr:colOff>739587</xdr:colOff>
      <xdr:row>17</xdr:row>
      <xdr:rowOff>56029</xdr:rowOff>
    </xdr:to>
    <xdr:sp macro="[0]!printe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5983941" y="3160058"/>
          <a:ext cx="2207558" cy="705971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800" b="1">
              <a:solidFill>
                <a:schemeClr val="bg1">
                  <a:lumMod val="8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PRINT</a:t>
          </a:r>
        </a:p>
      </xdr:txBody>
    </xdr:sp>
    <xdr:clientData/>
  </xdr:twoCellAnchor>
  <xdr:twoCellAnchor editAs="absolute">
    <xdr:from>
      <xdr:col>0</xdr:col>
      <xdr:colOff>1187823</xdr:colOff>
      <xdr:row>22</xdr:row>
      <xdr:rowOff>44823</xdr:rowOff>
    </xdr:from>
    <xdr:to>
      <xdr:col>4</xdr:col>
      <xdr:colOff>403411</xdr:colOff>
      <xdr:row>31</xdr:row>
      <xdr:rowOff>123266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>
          <a:grpSpLocks noChangeAspect="1"/>
        </xdr:cNvGrpSpPr>
      </xdr:nvGrpSpPr>
      <xdr:grpSpPr>
        <a:xfrm>
          <a:off x="1187823" y="4883523"/>
          <a:ext cx="2517588" cy="2135843"/>
          <a:chOff x="1199197" y="4735774"/>
          <a:chExt cx="2133717" cy="2254531"/>
        </a:xfrm>
      </xdr:grpSpPr>
      <xdr:cxnSp macro="">
        <xdr:nvCxnSpPr>
          <xdr:cNvPr id="3" name="Straight Arrow Connector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CxnSpPr/>
        </xdr:nvCxnSpPr>
        <xdr:spPr>
          <a:xfrm flipV="1">
            <a:off x="1332287" y="4735774"/>
            <a:ext cx="1996873" cy="6497"/>
          </a:xfrm>
          <a:prstGeom prst="straightConnector1">
            <a:avLst/>
          </a:prstGeom>
          <a:ln w="12700"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 flipH="1">
            <a:off x="1199197" y="4873329"/>
            <a:ext cx="7396" cy="2085043"/>
          </a:xfrm>
          <a:prstGeom prst="straightConnector1">
            <a:avLst/>
          </a:prstGeom>
          <a:ln w="12700">
            <a:headEnd type="triangle"/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24923" y="4861833"/>
            <a:ext cx="2007991" cy="212847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11207</xdr:colOff>
      <xdr:row>17</xdr:row>
      <xdr:rowOff>112058</xdr:rowOff>
    </xdr:from>
    <xdr:to>
      <xdr:col>12</xdr:col>
      <xdr:colOff>0</xdr:colOff>
      <xdr:row>21</xdr:row>
      <xdr:rowOff>89646</xdr:rowOff>
    </xdr:to>
    <xdr:sp macro="[0]!Save_PdfWindow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995148" y="3922058"/>
          <a:ext cx="2207558" cy="918882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800" b="1">
              <a:solidFill>
                <a:schemeClr val="bg1">
                  <a:lumMod val="8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GENERATE 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3030C-9584-4E8F-A642-CDEF767F5120}">
  <sheetPr codeName="Sheet5"/>
  <dimension ref="A1:Q35"/>
  <sheetViews>
    <sheetView tabSelected="1" zoomScale="99" zoomScaleNormal="100" workbookViewId="0">
      <selection activeCell="H26" sqref="H26"/>
    </sheetView>
  </sheetViews>
  <sheetFormatPr baseColWidth="10" defaultColWidth="9.1640625" defaultRowHeight="18"/>
  <cols>
    <col min="1" max="1" width="16.5" style="2" customWidth="1"/>
    <col min="2" max="2" width="8.1640625" style="2" customWidth="1"/>
    <col min="3" max="3" width="8.33203125" style="2" customWidth="1"/>
    <col min="4" max="4" width="8.1640625" style="2" customWidth="1"/>
    <col min="5" max="5" width="8.33203125" style="2" customWidth="1"/>
    <col min="6" max="6" width="9.6640625" style="2" customWidth="1"/>
    <col min="7" max="7" width="11.5" style="2" customWidth="1"/>
    <col min="8" max="8" width="9.1640625" style="2" bestFit="1" customWidth="1"/>
    <col min="9" max="9" width="9.6640625" style="2" customWidth="1"/>
    <col min="10" max="10" width="11.1640625" style="2" customWidth="1"/>
    <col min="11" max="11" width="12.6640625" style="2" bestFit="1" customWidth="1"/>
    <col min="12" max="12" width="11.1640625" style="2" customWidth="1"/>
    <col min="13" max="13" width="24.5" style="2" bestFit="1" customWidth="1"/>
    <col min="14" max="15" width="10" style="2" customWidth="1"/>
    <col min="16" max="16" width="22.5" style="2" customWidth="1"/>
    <col min="17" max="17" width="23" style="2" bestFit="1" customWidth="1"/>
    <col min="18" max="16384" width="9.1640625" style="2"/>
  </cols>
  <sheetData>
    <row r="1" spans="1:17">
      <c r="H1" s="45" t="s">
        <v>22</v>
      </c>
      <c r="I1" s="45"/>
      <c r="J1" s="3" t="s">
        <v>0</v>
      </c>
      <c r="K1" s="1" t="s">
        <v>9</v>
      </c>
      <c r="L1" s="1" t="s">
        <v>1</v>
      </c>
      <c r="M1" s="46" t="s">
        <v>11</v>
      </c>
      <c r="N1" s="47"/>
      <c r="O1" s="47"/>
      <c r="P1" s="48"/>
      <c r="Q1" s="1" t="s">
        <v>24</v>
      </c>
    </row>
    <row r="2" spans="1:17" ht="19">
      <c r="H2" s="49" t="s">
        <v>10</v>
      </c>
      <c r="I2" s="50"/>
      <c r="J2" s="5">
        <f>IF(J15&gt;0,J14+1,J14)</f>
        <v>81</v>
      </c>
      <c r="K2" s="5">
        <f>ROUND(((J2*L2)/144),2)</f>
        <v>16.88</v>
      </c>
      <c r="L2" s="6">
        <f>IF(L15&gt;0,L14+1,L14)</f>
        <v>30</v>
      </c>
      <c r="M2" s="7"/>
      <c r="N2" s="7" t="s">
        <v>3</v>
      </c>
      <c r="O2" s="7" t="s">
        <v>4</v>
      </c>
      <c r="P2" s="30" t="s">
        <v>5</v>
      </c>
    </row>
    <row r="3" spans="1:17">
      <c r="H3" s="51" t="s">
        <v>30</v>
      </c>
      <c r="I3" s="52"/>
      <c r="J3" s="5" t="str">
        <f>IF(J15&gt;0,J15&amp;"/"&amp;"8","")</f>
        <v/>
      </c>
      <c r="L3" s="5" t="str">
        <f>IF(L15&gt;0,L15&amp;"/"&amp;"8","")</f>
        <v/>
      </c>
      <c r="M3" s="44" t="s">
        <v>6</v>
      </c>
      <c r="N3" s="7">
        <v>130</v>
      </c>
      <c r="O3" s="7">
        <v>180</v>
      </c>
      <c r="P3" s="7">
        <v>150</v>
      </c>
    </row>
    <row r="4" spans="1:17">
      <c r="E4" s="53" t="s">
        <v>25</v>
      </c>
      <c r="F4" s="53"/>
      <c r="G4" s="53"/>
      <c r="H4" s="27" t="s">
        <v>23</v>
      </c>
      <c r="I4" s="13" t="s">
        <v>23</v>
      </c>
      <c r="J4" s="46" t="s">
        <v>39</v>
      </c>
      <c r="K4" s="47"/>
      <c r="L4" s="48"/>
      <c r="M4" s="44" t="s">
        <v>19</v>
      </c>
      <c r="N4" s="7">
        <v>75</v>
      </c>
      <c r="O4" s="7">
        <v>95</v>
      </c>
      <c r="P4" s="7">
        <v>85</v>
      </c>
    </row>
    <row r="5" spans="1:17">
      <c r="E5" s="53"/>
      <c r="F5" s="53"/>
      <c r="G5" s="53"/>
      <c r="J5" s="54" t="s">
        <v>9</v>
      </c>
      <c r="K5" s="55"/>
      <c r="L5" s="7">
        <v>15</v>
      </c>
      <c r="M5" s="44" t="s">
        <v>12</v>
      </c>
      <c r="N5" s="7">
        <v>160</v>
      </c>
      <c r="O5" s="7">
        <v>160</v>
      </c>
      <c r="P5" s="7">
        <v>160</v>
      </c>
    </row>
    <row r="6" spans="1:17">
      <c r="J6" s="54" t="s">
        <v>19</v>
      </c>
      <c r="K6" s="55"/>
      <c r="L6" s="7">
        <v>14.5</v>
      </c>
      <c r="M6" s="44" t="s">
        <v>13</v>
      </c>
      <c r="N6" s="7">
        <v>30</v>
      </c>
      <c r="O6" s="7">
        <v>30</v>
      </c>
      <c r="P6" s="7">
        <v>30</v>
      </c>
    </row>
    <row r="7" spans="1:17">
      <c r="M7" s="44" t="s">
        <v>38</v>
      </c>
      <c r="N7" s="7">
        <v>60</v>
      </c>
      <c r="O7" s="7">
        <v>60</v>
      </c>
      <c r="P7" s="7">
        <v>60</v>
      </c>
    </row>
    <row r="8" spans="1:17" ht="5.25" customHeight="1"/>
    <row r="9" spans="1:17" ht="18" customHeight="1">
      <c r="A9" s="16" t="s">
        <v>17</v>
      </c>
      <c r="B9" s="58" t="str">
        <f>J14&amp;" "&amp;J3&amp;"''"&amp;" "&amp;IF(L14&gt;0," X ","")&amp;" "&amp;L14&amp;" "&amp;L3&amp;"''"</f>
        <v>81 ''  X  30 ''</v>
      </c>
      <c r="C9" s="58"/>
      <c r="D9" s="58"/>
      <c r="E9" s="58"/>
      <c r="F9" s="58"/>
      <c r="G9" s="58"/>
    </row>
    <row r="10" spans="1:17" ht="18" customHeight="1">
      <c r="A10" s="16" t="s">
        <v>16</v>
      </c>
      <c r="B10" s="58" t="str">
        <f>ROUND((1*(J2*L2)/144),2)&amp;" Sqft"</f>
        <v>16.88 Sqft</v>
      </c>
      <c r="C10" s="58"/>
      <c r="D10" s="58"/>
      <c r="E10" s="58"/>
      <c r="F10" s="58"/>
      <c r="G10" s="58"/>
    </row>
    <row r="11" spans="1:17" ht="18" customHeight="1">
      <c r="A11" s="16" t="s">
        <v>18</v>
      </c>
      <c r="B11" s="58" t="str">
        <f>IF(ROUND(((J2*2+L2)/12),2)&lt;=L6,L6,ROUND(((J2*2+L2)/12),2))&amp;" Rft"</f>
        <v>16 Rft</v>
      </c>
      <c r="C11" s="58"/>
      <c r="D11" s="58"/>
      <c r="E11" s="58"/>
      <c r="F11" s="58"/>
      <c r="G11" s="58"/>
      <c r="J11" s="59" t="s">
        <v>8</v>
      </c>
      <c r="K11" s="59"/>
      <c r="L11" s="59"/>
    </row>
    <row r="12" spans="1:17" ht="3.75" customHeight="1">
      <c r="A12" s="17"/>
      <c r="B12" s="17"/>
      <c r="C12" s="17"/>
      <c r="D12" s="17"/>
      <c r="E12" s="17"/>
      <c r="F12" s="17"/>
      <c r="G12" s="17"/>
      <c r="J12" s="59"/>
      <c r="K12" s="59"/>
      <c r="L12" s="59"/>
    </row>
    <row r="13" spans="1:17" ht="18" customHeight="1">
      <c r="A13" s="56" t="s">
        <v>15</v>
      </c>
      <c r="B13" s="56" t="s">
        <v>3</v>
      </c>
      <c r="C13" s="56"/>
      <c r="D13" s="56" t="str">
        <f>O2</f>
        <v>1.6 MM</v>
      </c>
      <c r="E13" s="56"/>
      <c r="F13" s="56" t="str">
        <f>P2</f>
        <v>1.2 MM Hindalco</v>
      </c>
      <c r="G13" s="56"/>
      <c r="J13" s="38" t="s">
        <v>0</v>
      </c>
      <c r="K13" s="57" t="s">
        <v>2</v>
      </c>
      <c r="L13" s="38" t="s">
        <v>1</v>
      </c>
      <c r="M13" s="18"/>
    </row>
    <row r="14" spans="1:17" ht="18" customHeight="1">
      <c r="A14" s="56"/>
      <c r="B14" s="56"/>
      <c r="C14" s="56"/>
      <c r="D14" s="56"/>
      <c r="E14" s="56"/>
      <c r="F14" s="56"/>
      <c r="G14" s="56"/>
      <c r="I14" s="37" t="s">
        <v>20</v>
      </c>
      <c r="J14" s="40">
        <v>81</v>
      </c>
      <c r="K14" s="57"/>
      <c r="L14" s="40">
        <v>30</v>
      </c>
    </row>
    <row r="15" spans="1:17" ht="18" customHeight="1">
      <c r="A15" s="16" t="str">
        <f>M3</f>
        <v>Door</v>
      </c>
      <c r="B15" s="26" t="str">
        <f>"@"&amp;N3</f>
        <v>@130</v>
      </c>
      <c r="C15" s="29">
        <f>N3*$K$2</f>
        <v>2194.4</v>
      </c>
      <c r="D15" s="26" t="str">
        <f>"@"&amp;O3</f>
        <v>@180</v>
      </c>
      <c r="E15" s="29">
        <f>O3*$K$2</f>
        <v>3038.3999999999996</v>
      </c>
      <c r="F15" s="26" t="str">
        <f>"@"&amp;P3</f>
        <v>@150</v>
      </c>
      <c r="G15" s="29">
        <f>P3*K2</f>
        <v>2532</v>
      </c>
      <c r="H15" s="15"/>
      <c r="I15" s="37" t="s">
        <v>21</v>
      </c>
      <c r="J15" s="40"/>
      <c r="K15" s="57"/>
      <c r="L15" s="40"/>
    </row>
    <row r="16" spans="1:17" ht="18" customHeight="1">
      <c r="A16" s="16" t="str">
        <f>M4</f>
        <v>Chaukhat</v>
      </c>
      <c r="B16" s="26" t="str">
        <f>"@"&amp;N4</f>
        <v>@75</v>
      </c>
      <c r="C16" s="29">
        <f>IF(H16=FALSE,,((J2*2)+L2)/12)*N4</f>
        <v>1200</v>
      </c>
      <c r="D16" s="26" t="str">
        <f>"@"&amp;O4</f>
        <v>@95</v>
      </c>
      <c r="E16" s="29">
        <f>IF(H16=FALSE,,((J2*2)+L2)/12)*O4</f>
        <v>1520</v>
      </c>
      <c r="F16" s="26" t="str">
        <f>"@"&amp;P4</f>
        <v>@85</v>
      </c>
      <c r="G16" s="29">
        <f>IF($H$16=FALSE,,((J2*2)+L2)/12)*P4</f>
        <v>1360</v>
      </c>
      <c r="H16" s="28" t="b">
        <v>1</v>
      </c>
    </row>
    <row r="17" spans="1:16" ht="18" customHeight="1">
      <c r="A17" s="16" t="str">
        <f>M5</f>
        <v>Accessories</v>
      </c>
      <c r="B17" s="60">
        <f>IF(H17=FALSE,,N5)</f>
        <v>160</v>
      </c>
      <c r="C17" s="61"/>
      <c r="D17" s="60">
        <f>IF(H17=FALSE,,O5)</f>
        <v>160</v>
      </c>
      <c r="E17" s="61"/>
      <c r="F17" s="60">
        <f>IF(H17=FALSE,,P5)</f>
        <v>160</v>
      </c>
      <c r="G17" s="61"/>
      <c r="H17" s="28" t="b">
        <v>1</v>
      </c>
    </row>
    <row r="18" spans="1:16" ht="18" customHeight="1">
      <c r="A18" s="16" t="s">
        <v>7</v>
      </c>
      <c r="B18" s="62">
        <f>SUM(C15+C16+B17)</f>
        <v>3554.4</v>
      </c>
      <c r="C18" s="63"/>
      <c r="D18" s="62">
        <f>SUM(E15+E16+D17)</f>
        <v>4718.3999999999996</v>
      </c>
      <c r="E18" s="63"/>
      <c r="F18" s="62">
        <f>SUM(G15+G16+F17)</f>
        <v>4052</v>
      </c>
      <c r="G18" s="63"/>
      <c r="H18" s="20"/>
    </row>
    <row r="19" spans="1:16" ht="18" customHeight="1">
      <c r="A19" s="64" t="s">
        <v>14</v>
      </c>
      <c r="B19" s="64"/>
      <c r="C19" s="64"/>
      <c r="D19" s="64"/>
      <c r="E19" s="64"/>
      <c r="F19" s="64"/>
      <c r="G19" s="64"/>
      <c r="H19" s="20"/>
    </row>
    <row r="20" spans="1:16" ht="18" customHeight="1">
      <c r="A20" s="16" t="str">
        <f>M6</f>
        <v>Décor Film</v>
      </c>
      <c r="B20" s="26" t="str">
        <f>"@"&amp;N6</f>
        <v>@30</v>
      </c>
      <c r="C20" s="29">
        <f>IF(H20=FALSE,,K2*N6)</f>
        <v>506.4</v>
      </c>
      <c r="D20" s="26" t="str">
        <f>"@"&amp;O6</f>
        <v>@30</v>
      </c>
      <c r="E20" s="29">
        <f>IF(H20=FALSE,,K2*O6)</f>
        <v>506.4</v>
      </c>
      <c r="F20" s="26" t="str">
        <f>"@"&amp;P6</f>
        <v>@30</v>
      </c>
      <c r="G20" s="29">
        <f>IF(H20=FALSE,,K2*P6)</f>
        <v>506.4</v>
      </c>
      <c r="H20" s="28" t="b">
        <v>1</v>
      </c>
      <c r="M20" s="43" t="s">
        <v>41</v>
      </c>
      <c r="N20" s="65"/>
      <c r="O20" s="65"/>
      <c r="P20" s="65"/>
    </row>
    <row r="21" spans="1:16" ht="18" customHeight="1">
      <c r="A21" s="16" t="str">
        <f>M7</f>
        <v>Brown Coated</v>
      </c>
      <c r="B21" s="26" t="str">
        <f>"@"&amp;N7</f>
        <v>@60</v>
      </c>
      <c r="C21" s="29">
        <f>IF(H21=FALSE,,K2*N7)</f>
        <v>1012.8</v>
      </c>
      <c r="D21" s="26" t="str">
        <f>"@"&amp;N7</f>
        <v>@60</v>
      </c>
      <c r="E21" s="29">
        <f>IF(H21=FALSE,,K2*O7)</f>
        <v>1012.8</v>
      </c>
      <c r="F21" s="26" t="str">
        <f>"@"&amp;P7</f>
        <v>@60</v>
      </c>
      <c r="G21" s="29">
        <f>IF(H21=FALSE,,K2*P7)</f>
        <v>1012.8</v>
      </c>
      <c r="H21" s="28" t="b">
        <v>1</v>
      </c>
      <c r="M21" s="43" t="s">
        <v>40</v>
      </c>
      <c r="N21" s="54" t="str">
        <f>IF(N20="",J14&amp;" "&amp;IF(J15&gt;0,J15&amp;"!8","")&amp;"''"&amp;" "&amp;IF(L14&gt;0,"X","")&amp;"  "&amp;L14&amp;" "&amp;IF(L15&gt;0,L15&amp;"!8","")&amp;"''"&amp;" Aluminium Door",N20)</f>
        <v>81 '' X  30 '' Aluminium Door</v>
      </c>
      <c r="O21" s="66"/>
      <c r="P21" s="55"/>
    </row>
    <row r="22" spans="1:16" ht="21.75" customHeight="1">
      <c r="A22" s="67" t="str">
        <f>L14&amp;" "&amp;L3&amp;"''"</f>
        <v>30 ''</v>
      </c>
      <c r="B22" s="67"/>
      <c r="C22" s="67"/>
      <c r="D22" s="67"/>
      <c r="E22" s="67"/>
      <c r="F22" s="67"/>
      <c r="G22" s="67"/>
      <c r="H22" s="28"/>
    </row>
    <row r="23" spans="1:16" ht="18.75" customHeight="1">
      <c r="A23" s="68" t="str">
        <f>J14&amp;" "&amp;J3&amp;"''"</f>
        <v>81 ''</v>
      </c>
      <c r="B23" s="68"/>
      <c r="H23" s="15"/>
    </row>
    <row r="24" spans="1:16" ht="18" customHeight="1">
      <c r="A24" s="68"/>
      <c r="B24" s="68"/>
      <c r="C24" s="15"/>
      <c r="D24" s="15"/>
      <c r="E24" s="15"/>
      <c r="F24" s="15"/>
      <c r="G24" s="15"/>
      <c r="H24" s="15"/>
    </row>
    <row r="25" spans="1:16" ht="18" customHeight="1">
      <c r="A25" s="68"/>
      <c r="B25" s="68"/>
      <c r="C25" s="15"/>
      <c r="D25" s="15"/>
      <c r="E25" s="15"/>
      <c r="F25" s="15"/>
      <c r="G25" s="15"/>
      <c r="H25" s="15"/>
    </row>
    <row r="26" spans="1:16" ht="18" customHeight="1">
      <c r="A26" s="68"/>
      <c r="B26" s="68"/>
      <c r="C26" s="15"/>
      <c r="D26" s="15"/>
      <c r="E26" s="15"/>
      <c r="F26" s="15"/>
      <c r="G26" s="15"/>
      <c r="H26" s="15"/>
    </row>
    <row r="27" spans="1:16" ht="18" customHeight="1">
      <c r="A27" s="68"/>
      <c r="B27" s="68"/>
      <c r="C27" s="15"/>
      <c r="D27" s="15"/>
      <c r="E27" s="15"/>
      <c r="F27" s="15"/>
      <c r="G27" s="15"/>
      <c r="H27" s="15"/>
    </row>
    <row r="28" spans="1:16" ht="18" customHeight="1">
      <c r="A28" s="68"/>
      <c r="B28" s="68"/>
      <c r="C28" s="15"/>
      <c r="D28" s="15"/>
      <c r="E28" s="15"/>
      <c r="F28" s="15"/>
      <c r="G28" s="15"/>
      <c r="H28" s="15"/>
    </row>
    <row r="29" spans="1:16" ht="18" customHeight="1">
      <c r="A29" s="68"/>
      <c r="B29" s="68"/>
      <c r="C29" s="15"/>
      <c r="D29" s="15"/>
      <c r="E29" s="15"/>
      <c r="F29" s="15"/>
      <c r="G29" s="15"/>
      <c r="H29" s="15"/>
    </row>
    <row r="30" spans="1:16" ht="18" customHeight="1">
      <c r="A30" s="68"/>
      <c r="B30" s="68"/>
      <c r="C30" s="15"/>
      <c r="D30" s="15"/>
      <c r="E30" s="15"/>
      <c r="F30" s="15"/>
      <c r="G30" s="15"/>
      <c r="H30" s="15"/>
    </row>
    <row r="31" spans="1:16" ht="18" customHeight="1">
      <c r="A31" s="68"/>
      <c r="B31" s="68"/>
      <c r="C31" s="15"/>
      <c r="D31" s="15"/>
      <c r="E31" s="15"/>
      <c r="F31" s="15"/>
      <c r="G31" s="15"/>
      <c r="H31" s="15"/>
      <c r="K31" s="22"/>
    </row>
    <row r="32" spans="1:16" ht="18" customHeight="1">
      <c r="A32" s="68"/>
      <c r="B32" s="68"/>
      <c r="C32" s="15"/>
      <c r="D32" s="15"/>
      <c r="E32" s="15"/>
      <c r="F32" s="15"/>
      <c r="G32" s="15"/>
      <c r="H32" s="15"/>
    </row>
    <row r="33" spans="1:8" ht="18" customHeight="1">
      <c r="A33" s="68"/>
      <c r="B33" s="68"/>
      <c r="C33" s="15"/>
      <c r="D33" s="15"/>
      <c r="E33" s="15"/>
      <c r="F33" s="15"/>
      <c r="G33" s="15"/>
      <c r="H33" s="15"/>
    </row>
    <row r="34" spans="1:8" ht="18" customHeight="1">
      <c r="A34" s="68"/>
      <c r="B34" s="68"/>
    </row>
    <row r="35" spans="1:8" ht="18" customHeight="1"/>
  </sheetData>
  <protectedRanges>
    <protectedRange algorithmName="SHA-512" hashValue="6WKxlMtKAuTyIqVdXR3YXtdSVd5YyD0chFwgjI6yE2DRYz6oAb96odpMmPXgRSqCDUK5ErWrcQ1LpTJbix3a6w==" saltValue="VQ7XLZXK0v7213LQMexRkA==" spinCount="100000" sqref="M2:P7" name="rates"/>
  </protectedRanges>
  <mergeCells count="28">
    <mergeCell ref="A19:G19"/>
    <mergeCell ref="N20:P20"/>
    <mergeCell ref="N21:P21"/>
    <mergeCell ref="A22:G22"/>
    <mergeCell ref="A23:B34"/>
    <mergeCell ref="B17:C17"/>
    <mergeCell ref="D17:E17"/>
    <mergeCell ref="F17:G17"/>
    <mergeCell ref="B18:C18"/>
    <mergeCell ref="D18:E18"/>
    <mergeCell ref="F18:G18"/>
    <mergeCell ref="J6:K6"/>
    <mergeCell ref="B9:G9"/>
    <mergeCell ref="B10:G10"/>
    <mergeCell ref="B11:G11"/>
    <mergeCell ref="J11:L12"/>
    <mergeCell ref="A13:A14"/>
    <mergeCell ref="B13:C14"/>
    <mergeCell ref="D13:E14"/>
    <mergeCell ref="F13:G14"/>
    <mergeCell ref="K13:K15"/>
    <mergeCell ref="H1:I1"/>
    <mergeCell ref="M1:P1"/>
    <mergeCell ref="H2:I2"/>
    <mergeCell ref="H3:I3"/>
    <mergeCell ref="E4:G5"/>
    <mergeCell ref="J4:L4"/>
    <mergeCell ref="J5:K5"/>
  </mergeCells>
  <dataValidations count="1">
    <dataValidation type="whole" errorStyle="warning" allowBlank="1" showDropDown="1" showInputMessage="1" showErrorMessage="1" errorTitle="Invalid Data, Input ( 0 To 8 )" error="Soot Can Only Be Between 0 To 8 As It Is Defined as -_x000a__x000a_1 Soot = 1 Inch/8" promptTitle="Type Your Measured Soot - if any" sqref="M18 J15 L15" xr:uid="{2D5D0E1F-1814-4FD5-928C-4FF4947164C8}">
      <formula1>0</formula1>
      <formula2>8</formula2>
    </dataValidation>
  </dataValidations>
  <printOptions horizontalCentered="1" verticalCentered="1"/>
  <pageMargins left="0" right="0" top="0" bottom="0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locked="0" defaultSize="0" autoFill="0" autoLine="0" autoPict="0">
                <anchor moveWithCells="1">
                  <from>
                    <xdr:col>7</xdr:col>
                    <xdr:colOff>12700</xdr:colOff>
                    <xdr:row>15</xdr:row>
                    <xdr:rowOff>12700</xdr:rowOff>
                  </from>
                  <to>
                    <xdr:col>7</xdr:col>
                    <xdr:colOff>317500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locked="0" defaultSize="0" autoFill="0" autoLine="0" autoPict="0">
                <anchor moveWithCells="1">
                  <from>
                    <xdr:col>7</xdr:col>
                    <xdr:colOff>12700</xdr:colOff>
                    <xdr:row>16</xdr:row>
                    <xdr:rowOff>0</xdr:rowOff>
                  </from>
                  <to>
                    <xdr:col>7</xdr:col>
                    <xdr:colOff>317500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3FF93-AD02-4B94-A230-2FF7B4579F6A}">
  <sheetPr codeName="Sheet7"/>
  <dimension ref="A1:T53"/>
  <sheetViews>
    <sheetView zoomScaleNormal="100" workbookViewId="0">
      <selection activeCell="L26" sqref="L26"/>
    </sheetView>
  </sheetViews>
  <sheetFormatPr baseColWidth="10" defaultColWidth="9.1640625" defaultRowHeight="18"/>
  <cols>
    <col min="1" max="1" width="20.1640625" style="2" customWidth="1"/>
    <col min="2" max="2" width="7.83203125" style="2" customWidth="1"/>
    <col min="3" max="3" width="7.5" style="2" customWidth="1"/>
    <col min="4" max="4" width="7.83203125" style="2" customWidth="1"/>
    <col min="5" max="5" width="7.5" style="2" customWidth="1"/>
    <col min="6" max="6" width="9.1640625" style="2" customWidth="1"/>
    <col min="7" max="7" width="11.1640625" style="2" customWidth="1"/>
    <col min="8" max="8" width="9.1640625" style="2" bestFit="1" customWidth="1"/>
    <col min="9" max="9" width="9.6640625" style="2" customWidth="1"/>
    <col min="10" max="12" width="11.1640625" style="2" customWidth="1"/>
    <col min="13" max="13" width="24.1640625" style="2" customWidth="1"/>
    <col min="14" max="15" width="10" style="2" customWidth="1"/>
    <col min="16" max="16" width="22.5" style="2" bestFit="1" customWidth="1"/>
    <col min="17" max="18" width="16.33203125" style="2" customWidth="1"/>
    <col min="19" max="19" width="23" style="2" bestFit="1" customWidth="1"/>
    <col min="20" max="16384" width="9.1640625" style="2"/>
  </cols>
  <sheetData>
    <row r="1" spans="1:20" ht="18.75" customHeight="1">
      <c r="H1" s="45" t="s">
        <v>22</v>
      </c>
      <c r="I1" s="45"/>
      <c r="J1" s="3" t="s">
        <v>0</v>
      </c>
      <c r="K1" s="1" t="s">
        <v>9</v>
      </c>
      <c r="L1" s="1" t="s">
        <v>1</v>
      </c>
      <c r="M1" s="46" t="s">
        <v>11</v>
      </c>
      <c r="N1" s="47"/>
      <c r="O1" s="47"/>
      <c r="P1" s="48"/>
      <c r="Q1" s="80" t="s">
        <v>29</v>
      </c>
      <c r="R1" s="80"/>
      <c r="T1" s="21"/>
    </row>
    <row r="2" spans="1:20" ht="18.75" customHeight="1">
      <c r="H2" s="49" t="s">
        <v>10</v>
      </c>
      <c r="I2" s="49"/>
      <c r="J2" s="4">
        <f>IF(J14&gt;0,J13+1,J13)</f>
        <v>40</v>
      </c>
      <c r="K2" s="5">
        <f>ROUND((1*(J2*L2)/144),2)</f>
        <v>10</v>
      </c>
      <c r="L2" s="6">
        <f>IF(L14&gt;0,L13+1,L13)</f>
        <v>36</v>
      </c>
      <c r="M2" s="7"/>
      <c r="N2" s="8" t="s">
        <v>3</v>
      </c>
      <c r="O2" s="9" t="s">
        <v>4</v>
      </c>
      <c r="P2" s="9" t="s">
        <v>5</v>
      </c>
      <c r="Q2" s="10">
        <v>6</v>
      </c>
      <c r="R2" s="11">
        <v>240</v>
      </c>
      <c r="T2" s="21"/>
    </row>
    <row r="3" spans="1:20" ht="18.75" customHeight="1">
      <c r="H3" s="51" t="s">
        <v>30</v>
      </c>
      <c r="I3" s="51"/>
      <c r="J3" s="4" t="str">
        <f>IF(J14&gt;0,J14&amp;"/"&amp;"8","")</f>
        <v/>
      </c>
      <c r="L3" s="5" t="str">
        <f>IF(L14&gt;0,L14&amp;"/"&amp;"8","")</f>
        <v/>
      </c>
      <c r="M3" s="70" t="s">
        <v>26</v>
      </c>
      <c r="N3" s="72">
        <f>L4</f>
        <v>230</v>
      </c>
      <c r="O3" s="72">
        <f>N3+50</f>
        <v>280</v>
      </c>
      <c r="P3" s="72">
        <f>N3+40</f>
        <v>270</v>
      </c>
      <c r="Q3" s="10">
        <v>7.5</v>
      </c>
      <c r="R3" s="11">
        <v>260</v>
      </c>
      <c r="T3" s="21"/>
    </row>
    <row r="4" spans="1:20" ht="18.75" customHeight="1">
      <c r="E4" s="53" t="s">
        <v>36</v>
      </c>
      <c r="F4" s="53"/>
      <c r="G4" s="53"/>
      <c r="H4" s="12" t="s">
        <v>23</v>
      </c>
      <c r="I4" s="13" t="s">
        <v>23</v>
      </c>
      <c r="J4" s="14">
        <f>INDEX(Q2:Q8,(MATCH(K2,Q2:Q8,1)))</f>
        <v>9</v>
      </c>
      <c r="K4" s="1" t="s">
        <v>31</v>
      </c>
      <c r="L4" s="5">
        <f>VLOOKUP(J4,Q2:R8,2,FALSE)</f>
        <v>230</v>
      </c>
      <c r="M4" s="71" t="s">
        <v>19</v>
      </c>
      <c r="N4" s="73">
        <v>75</v>
      </c>
      <c r="O4" s="73">
        <v>85</v>
      </c>
      <c r="P4" s="73">
        <v>85</v>
      </c>
      <c r="Q4" s="10">
        <v>9</v>
      </c>
      <c r="R4" s="11">
        <v>230</v>
      </c>
      <c r="T4" s="21"/>
    </row>
    <row r="5" spans="1:20" ht="18.75" customHeight="1">
      <c r="E5" s="53"/>
      <c r="F5" s="53"/>
      <c r="G5" s="53"/>
      <c r="M5" s="70" t="s">
        <v>27</v>
      </c>
      <c r="N5" s="72">
        <f>N3+20</f>
        <v>250</v>
      </c>
      <c r="O5" s="72">
        <f>N5+50</f>
        <v>300</v>
      </c>
      <c r="P5" s="72">
        <f>N5+40</f>
        <v>290</v>
      </c>
      <c r="Q5" s="10">
        <v>12</v>
      </c>
      <c r="R5" s="11">
        <v>210</v>
      </c>
      <c r="T5" s="21"/>
    </row>
    <row r="6" spans="1:20" ht="18.75" customHeight="1">
      <c r="E6" s="15"/>
      <c r="F6" s="15"/>
      <c r="G6" s="15"/>
      <c r="M6" s="71" t="s">
        <v>13</v>
      </c>
      <c r="N6" s="73">
        <v>30</v>
      </c>
      <c r="O6" s="73">
        <v>30</v>
      </c>
      <c r="P6" s="73">
        <v>30</v>
      </c>
      <c r="Q6" s="10">
        <v>16</v>
      </c>
      <c r="R6" s="11">
        <v>190</v>
      </c>
      <c r="T6" s="21"/>
    </row>
    <row r="7" spans="1:20" ht="18.75" customHeight="1">
      <c r="E7" s="15"/>
      <c r="F7" s="15"/>
      <c r="G7" s="15"/>
      <c r="M7" s="44" t="s">
        <v>37</v>
      </c>
      <c r="N7" s="7">
        <v>50</v>
      </c>
      <c r="O7" s="7">
        <v>50</v>
      </c>
      <c r="P7" s="7">
        <v>50</v>
      </c>
      <c r="Q7" s="10">
        <v>20</v>
      </c>
      <c r="R7" s="11">
        <v>180</v>
      </c>
      <c r="T7" s="21"/>
    </row>
    <row r="8" spans="1:20" ht="18.75" customHeight="1">
      <c r="M8" s="44" t="s">
        <v>38</v>
      </c>
      <c r="N8" s="7">
        <v>40</v>
      </c>
      <c r="O8" s="7">
        <v>40</v>
      </c>
      <c r="P8" s="7">
        <v>40</v>
      </c>
      <c r="Q8" s="10">
        <v>24</v>
      </c>
      <c r="R8" s="11">
        <v>170</v>
      </c>
    </row>
    <row r="9" spans="1:20" ht="18.75" customHeight="1">
      <c r="A9" s="16" t="s">
        <v>17</v>
      </c>
      <c r="B9" s="58" t="str">
        <f>J13&amp;" "&amp;J3&amp;"''"&amp;" "&amp;IF(L13&gt;0," X ","")&amp;" "&amp;L13&amp;" "&amp;L3&amp;"''"</f>
        <v>40 ''  X  36 ''</v>
      </c>
      <c r="C9" s="58"/>
      <c r="D9" s="58"/>
      <c r="E9" s="58"/>
      <c r="F9" s="58"/>
      <c r="G9" s="58"/>
      <c r="M9" s="42"/>
      <c r="Q9" s="80" t="s">
        <v>24</v>
      </c>
      <c r="R9" s="80"/>
    </row>
    <row r="10" spans="1:20" ht="18.75" customHeight="1">
      <c r="A10" s="16" t="s">
        <v>16</v>
      </c>
      <c r="B10" s="58" t="str">
        <f>ROUND((1*(J2*L2)/144),2)&amp;" Sqft"</f>
        <v>10 Sqft</v>
      </c>
      <c r="C10" s="58"/>
      <c r="D10" s="58"/>
      <c r="E10" s="58"/>
      <c r="F10" s="58"/>
      <c r="G10" s="58"/>
      <c r="J10" s="59" t="s">
        <v>8</v>
      </c>
      <c r="K10" s="59"/>
      <c r="L10" s="59"/>
    </row>
    <row r="11" spans="1:20" ht="3.75" customHeight="1">
      <c r="A11" s="17"/>
      <c r="B11" s="17"/>
      <c r="C11" s="17"/>
      <c r="D11" s="17"/>
      <c r="E11" s="17"/>
      <c r="F11" s="17"/>
      <c r="G11" s="17"/>
      <c r="J11" s="59"/>
      <c r="K11" s="59"/>
      <c r="L11" s="59"/>
    </row>
    <row r="12" spans="1:20" ht="18.75" customHeight="1">
      <c r="A12" s="56" t="s">
        <v>15</v>
      </c>
      <c r="B12" s="56" t="s">
        <v>3</v>
      </c>
      <c r="C12" s="56"/>
      <c r="D12" s="56" t="str">
        <f>O2</f>
        <v>1.6 MM</v>
      </c>
      <c r="E12" s="56"/>
      <c r="F12" s="56" t="str">
        <f>P2</f>
        <v>1.2 MM Hindalco</v>
      </c>
      <c r="G12" s="56"/>
      <c r="I12" s="39"/>
      <c r="J12" s="38" t="s">
        <v>0</v>
      </c>
      <c r="K12" s="57" t="s">
        <v>2</v>
      </c>
      <c r="L12" s="38" t="s">
        <v>1</v>
      </c>
      <c r="M12" s="18"/>
    </row>
    <row r="13" spans="1:20" ht="18.75" customHeight="1">
      <c r="A13" s="56"/>
      <c r="B13" s="56"/>
      <c r="C13" s="56"/>
      <c r="D13" s="56"/>
      <c r="E13" s="56"/>
      <c r="F13" s="56"/>
      <c r="G13" s="56"/>
      <c r="I13" s="37" t="s">
        <v>20</v>
      </c>
      <c r="J13" s="41">
        <v>40</v>
      </c>
      <c r="K13" s="57"/>
      <c r="L13" s="41">
        <v>36</v>
      </c>
    </row>
    <row r="14" spans="1:20" ht="18.75" customHeight="1">
      <c r="A14" s="76" t="str">
        <f>M3</f>
        <v>4 MM Clear &amp; Texture Glass</v>
      </c>
      <c r="B14" s="74" t="str">
        <f>"@"&amp;N3</f>
        <v>@230</v>
      </c>
      <c r="C14" s="78">
        <f>N3*$K$2</f>
        <v>2300</v>
      </c>
      <c r="D14" s="74" t="str">
        <f>"@"&amp;O3</f>
        <v>@280</v>
      </c>
      <c r="E14" s="78">
        <f>O3*$K$2</f>
        <v>2800</v>
      </c>
      <c r="F14" s="74" t="str">
        <f>"@"&amp;P3</f>
        <v>@270</v>
      </c>
      <c r="G14" s="78">
        <f>P3*K2</f>
        <v>2700</v>
      </c>
      <c r="H14" s="15"/>
      <c r="I14" s="37" t="s">
        <v>21</v>
      </c>
      <c r="J14" s="41">
        <v>0</v>
      </c>
      <c r="K14" s="57"/>
      <c r="L14" s="41">
        <v>0</v>
      </c>
    </row>
    <row r="15" spans="1:20" ht="18.75" customHeight="1">
      <c r="A15" s="77"/>
      <c r="B15" s="75"/>
      <c r="C15" s="79"/>
      <c r="D15" s="75"/>
      <c r="E15" s="79"/>
      <c r="F15" s="75" t="str">
        <f>"@"&amp;P4</f>
        <v>@85</v>
      </c>
      <c r="G15" s="79">
        <f>IF($H$15=FALSE,,((J2*2)+L2)/12)*P4</f>
        <v>0</v>
      </c>
      <c r="H15" s="19"/>
    </row>
    <row r="16" spans="1:20" ht="18.75" customHeight="1">
      <c r="A16" s="76" t="str">
        <f>M5</f>
        <v>4 MM Reflective Glass</v>
      </c>
      <c r="B16" s="74" t="str">
        <f>"@"&amp;N5</f>
        <v>@250</v>
      </c>
      <c r="C16" s="78">
        <f>N5*$K$2</f>
        <v>2500</v>
      </c>
      <c r="D16" s="74" t="str">
        <f>"@"&amp;O5</f>
        <v>@300</v>
      </c>
      <c r="E16" s="78">
        <f>O5*$K$2</f>
        <v>3000</v>
      </c>
      <c r="F16" s="74" t="str">
        <f>"@"&amp;P5</f>
        <v>@290</v>
      </c>
      <c r="G16" s="78">
        <f>P5*K2</f>
        <v>2900</v>
      </c>
      <c r="H16" s="19"/>
    </row>
    <row r="17" spans="1:17" ht="18.75" customHeight="1">
      <c r="A17" s="77" t="s">
        <v>7</v>
      </c>
      <c r="B17" s="75"/>
      <c r="C17" s="79"/>
      <c r="D17" s="75"/>
      <c r="E17" s="79"/>
      <c r="F17" s="75" t="str">
        <f>"@"&amp;P6</f>
        <v>@30</v>
      </c>
      <c r="G17" s="79">
        <f>IF($H$15=FALSE,,((#REF!*2)+L4)/12)*P6</f>
        <v>0</v>
      </c>
      <c r="H17" s="20"/>
    </row>
    <row r="18" spans="1:17" ht="18.75" customHeight="1">
      <c r="A18" s="81" t="s">
        <v>14</v>
      </c>
      <c r="B18" s="81"/>
      <c r="C18" s="81"/>
      <c r="D18" s="81"/>
      <c r="E18" s="81"/>
      <c r="F18" s="81"/>
      <c r="G18" s="81"/>
      <c r="H18" s="20"/>
    </row>
    <row r="19" spans="1:17" ht="18.75" customHeight="1">
      <c r="A19" s="24" t="str">
        <f>M7</f>
        <v>Full SS Net</v>
      </c>
      <c r="B19" s="26" t="str">
        <f>"@"&amp;N7</f>
        <v>@50</v>
      </c>
      <c r="C19" s="25">
        <f>IF(H19=FALSE,,K2*N7)</f>
        <v>500</v>
      </c>
      <c r="D19" s="26" t="str">
        <f>"@"&amp;O7</f>
        <v>@50</v>
      </c>
      <c r="E19" s="25">
        <f>IF(H19=FALSE,,K2*O7)</f>
        <v>500</v>
      </c>
      <c r="F19" s="26" t="str">
        <f>"@"&amp;P7</f>
        <v>@50</v>
      </c>
      <c r="G19" s="25">
        <f>IF(H19=FALSE,,K2*P7)</f>
        <v>500</v>
      </c>
      <c r="H19" s="19" t="b">
        <v>1</v>
      </c>
      <c r="M19" s="43" t="s">
        <v>41</v>
      </c>
      <c r="N19" s="65"/>
      <c r="O19" s="65"/>
      <c r="P19" s="65"/>
      <c r="Q19" s="65"/>
    </row>
    <row r="20" spans="1:17" ht="18.75" customHeight="1">
      <c r="A20" s="34" t="str">
        <f>M8</f>
        <v>Brown Coated</v>
      </c>
      <c r="B20" s="35" t="str">
        <f>"@"&amp;N8</f>
        <v>@40</v>
      </c>
      <c r="C20" s="36">
        <f>IF(H20=FALSE,,K2*N8)</f>
        <v>400</v>
      </c>
      <c r="D20" s="35" t="str">
        <f>"@"&amp;N8</f>
        <v>@40</v>
      </c>
      <c r="E20" s="36">
        <f>IF(H20=FALSE,,K2*O8)</f>
        <v>400</v>
      </c>
      <c r="F20" s="35" t="str">
        <f>"@"&amp;P8</f>
        <v>@40</v>
      </c>
      <c r="G20" s="36">
        <f>IF(H20=FALSE,,K2*P8)</f>
        <v>400</v>
      </c>
      <c r="H20" s="19" t="b">
        <v>1</v>
      </c>
      <c r="M20" s="43" t="s">
        <v>40</v>
      </c>
      <c r="N20" s="69" t="str">
        <f>IF(N19="",J13&amp;" "&amp;IF(J14&gt;0,J14&amp;"!8","")&amp;"''"&amp;" "&amp;IF(L13&gt;0,"X","")&amp;"  "&amp;L13&amp;" "&amp;IF(L14&gt;0,L14&amp;"!8","")&amp;"''"&amp;"  2 Track Aluminium Window",N19)</f>
        <v>40 '' X  36 ''  2 Track Aluminium Window</v>
      </c>
      <c r="O20" s="69"/>
      <c r="P20" s="69"/>
      <c r="Q20" s="69"/>
    </row>
    <row r="21" spans="1:17" ht="18.75" customHeight="1">
      <c r="A21" s="21"/>
      <c r="F21" s="21"/>
      <c r="G21" s="21"/>
      <c r="H21" s="15"/>
      <c r="N21" s="15"/>
    </row>
    <row r="22" spans="1:17" ht="18.75" customHeight="1">
      <c r="A22" s="67" t="str">
        <f>L13&amp;" "&amp;L3&amp;"''"</f>
        <v>36 ''</v>
      </c>
      <c r="B22" s="67"/>
      <c r="C22" s="67"/>
      <c r="D22" s="67"/>
      <c r="E22" s="67"/>
      <c r="F22" s="67"/>
      <c r="G22" s="67"/>
      <c r="H22" s="15"/>
    </row>
    <row r="23" spans="1:17" ht="18.75" customHeight="1">
      <c r="A23" s="68" t="str">
        <f>J13&amp;" "&amp;J3&amp;"''"</f>
        <v>40 ''</v>
      </c>
      <c r="B23" s="21"/>
      <c r="C23" s="15"/>
      <c r="D23" s="15"/>
      <c r="E23" s="15"/>
      <c r="F23" s="15"/>
      <c r="G23" s="15"/>
      <c r="H23" s="15"/>
    </row>
    <row r="24" spans="1:17" ht="18.75" customHeight="1">
      <c r="A24" s="68"/>
      <c r="B24" s="21"/>
      <c r="C24" s="15"/>
      <c r="D24" s="15"/>
      <c r="E24" s="15"/>
      <c r="F24" s="15"/>
      <c r="G24" s="15"/>
      <c r="H24" s="15"/>
    </row>
    <row r="25" spans="1:17" ht="18.75" customHeight="1">
      <c r="A25" s="68"/>
      <c r="B25" s="21"/>
      <c r="C25" s="15"/>
      <c r="D25" s="15"/>
      <c r="E25" s="15"/>
      <c r="F25" s="15"/>
      <c r="G25" s="15"/>
      <c r="H25" s="15"/>
    </row>
    <row r="26" spans="1:17" ht="18.75" customHeight="1">
      <c r="A26" s="68"/>
      <c r="B26" s="21"/>
      <c r="C26" s="15"/>
      <c r="D26" s="15"/>
      <c r="E26" s="15"/>
      <c r="F26" s="15"/>
      <c r="G26" s="15"/>
      <c r="H26" s="15"/>
    </row>
    <row r="27" spans="1:17" ht="18.75" customHeight="1">
      <c r="A27" s="68"/>
      <c r="B27" s="21"/>
      <c r="C27" s="15"/>
      <c r="D27" s="15"/>
      <c r="E27" s="15"/>
      <c r="F27" s="15"/>
      <c r="G27" s="15"/>
      <c r="H27" s="15"/>
    </row>
    <row r="28" spans="1:17" ht="18.75" customHeight="1">
      <c r="A28" s="68"/>
      <c r="B28" s="21"/>
      <c r="C28" s="15"/>
      <c r="D28" s="15"/>
      <c r="E28" s="15"/>
      <c r="F28" s="15"/>
      <c r="G28" s="15"/>
      <c r="H28" s="15"/>
    </row>
    <row r="29" spans="1:17" ht="18.75" customHeight="1">
      <c r="A29" s="68"/>
      <c r="B29" s="21"/>
      <c r="C29" s="15"/>
      <c r="D29" s="15"/>
      <c r="E29" s="15"/>
      <c r="F29" s="15"/>
      <c r="G29" s="15"/>
      <c r="H29" s="15"/>
    </row>
    <row r="30" spans="1:17" ht="18.75" customHeight="1">
      <c r="A30" s="68"/>
      <c r="B30" s="21"/>
      <c r="C30" s="15"/>
      <c r="D30" s="15"/>
      <c r="E30" s="15"/>
      <c r="F30" s="15"/>
      <c r="G30" s="15"/>
      <c r="H30" s="15"/>
    </row>
    <row r="31" spans="1:17" ht="18.75" customHeight="1">
      <c r="A31" s="68"/>
      <c r="B31" s="21"/>
    </row>
    <row r="32" spans="1:17" ht="18.75" customHeight="1">
      <c r="A32" s="68"/>
      <c r="K32" s="22"/>
    </row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</sheetData>
  <protectedRanges>
    <protectedRange algorithmName="SHA-512" hashValue="QRXXwIOl2RF6J0OtyBMIVyQDrnnti59kfojx7okYkQTXypjnrfIhaug5rgTX3MkB8tdX0vJ8MZxkMfySNx9pmw==" saltValue="v4BU4pB6aI3sZPcwyYBDcA==" spinCount="100000" sqref="N5:N6" name="rates"/>
  </protectedRanges>
  <mergeCells count="42">
    <mergeCell ref="A22:G22"/>
    <mergeCell ref="A23:A32"/>
    <mergeCell ref="Q1:R1"/>
    <mergeCell ref="Q9:R9"/>
    <mergeCell ref="G16:G17"/>
    <mergeCell ref="A18:G18"/>
    <mergeCell ref="B10:G10"/>
    <mergeCell ref="J10:L11"/>
    <mergeCell ref="A12:A13"/>
    <mergeCell ref="B12:C13"/>
    <mergeCell ref="D12:E13"/>
    <mergeCell ref="F12:G13"/>
    <mergeCell ref="K12:K14"/>
    <mergeCell ref="E4:G5"/>
    <mergeCell ref="M5:M6"/>
    <mergeCell ref="N5:N6"/>
    <mergeCell ref="F16:F17"/>
    <mergeCell ref="A14:A15"/>
    <mergeCell ref="B14:B15"/>
    <mergeCell ref="C14:C15"/>
    <mergeCell ref="P5:P6"/>
    <mergeCell ref="B9:G9"/>
    <mergeCell ref="A16:A17"/>
    <mergeCell ref="B16:B17"/>
    <mergeCell ref="C16:C17"/>
    <mergeCell ref="D16:D17"/>
    <mergeCell ref="E16:E17"/>
    <mergeCell ref="O5:O6"/>
    <mergeCell ref="D14:D15"/>
    <mergeCell ref="E14:E15"/>
    <mergeCell ref="F14:F15"/>
    <mergeCell ref="G14:G15"/>
    <mergeCell ref="N19:Q19"/>
    <mergeCell ref="N20:Q20"/>
    <mergeCell ref="H1:I1"/>
    <mergeCell ref="M1:P1"/>
    <mergeCell ref="H2:I2"/>
    <mergeCell ref="H3:I3"/>
    <mergeCell ref="M3:M4"/>
    <mergeCell ref="N3:N4"/>
    <mergeCell ref="O3:O4"/>
    <mergeCell ref="P3:P4"/>
  </mergeCells>
  <phoneticPr fontId="1" type="noConversion"/>
  <dataValidations count="1">
    <dataValidation type="whole" errorStyle="warning" allowBlank="1" showDropDown="1" showInputMessage="1" showErrorMessage="1" errorTitle="Invalid Data, Input ( 0 To 8 )" error="Soot Can Only Be Between 0 To 8 As It Is Defined as -_x000a__x000a_1 Soot = 1 Inch/8" promptTitle="Type Your Measured Soot - if any" sqref="J14 L14" xr:uid="{7DB7CBFC-A261-4184-B41D-2F24CFF72299}">
      <formula1>0</formula1>
      <formula2>8</formula2>
    </dataValidation>
  </dataValidations>
  <printOptions horizontalCentered="1" verticalCentered="1"/>
  <pageMargins left="0" right="0" top="0" bottom="0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4A09-CDA5-4A25-A8DF-A25647C17F06}">
  <sheetPr codeName="Sheet8"/>
  <dimension ref="A1:R40"/>
  <sheetViews>
    <sheetView zoomScaleNormal="100" workbookViewId="0">
      <selection activeCell="F36" sqref="F36"/>
    </sheetView>
  </sheetViews>
  <sheetFormatPr baseColWidth="10" defaultColWidth="9.1640625" defaultRowHeight="18"/>
  <cols>
    <col min="1" max="1" width="20.1640625" style="2" customWidth="1"/>
    <col min="2" max="2" width="7.83203125" style="2" customWidth="1"/>
    <col min="3" max="3" width="7.5" style="2" customWidth="1"/>
    <col min="4" max="4" width="7.83203125" style="2" customWidth="1"/>
    <col min="5" max="5" width="7.33203125" style="2" customWidth="1"/>
    <col min="6" max="6" width="9.1640625" style="2" customWidth="1"/>
    <col min="7" max="7" width="11.33203125" style="2" customWidth="1"/>
    <col min="8" max="8" width="9.1640625" style="2" bestFit="1" customWidth="1"/>
    <col min="9" max="9" width="9.6640625" style="2" customWidth="1"/>
    <col min="10" max="12" width="11.1640625" style="2" customWidth="1"/>
    <col min="13" max="13" width="24.1640625" style="2" customWidth="1"/>
    <col min="14" max="15" width="10" style="2" customWidth="1"/>
    <col min="16" max="16" width="22.6640625" style="2" bestFit="1" customWidth="1"/>
    <col min="17" max="18" width="16.33203125" style="2" customWidth="1"/>
    <col min="19" max="19" width="23" style="2" bestFit="1" customWidth="1"/>
    <col min="20" max="16384" width="9.1640625" style="2"/>
  </cols>
  <sheetData>
    <row r="1" spans="1:18" ht="18.75" customHeight="1">
      <c r="H1" s="45" t="s">
        <v>22</v>
      </c>
      <c r="I1" s="45"/>
      <c r="J1" s="3" t="s">
        <v>0</v>
      </c>
      <c r="K1" s="1" t="s">
        <v>9</v>
      </c>
      <c r="L1" s="1" t="s">
        <v>1</v>
      </c>
      <c r="M1" s="46" t="s">
        <v>11</v>
      </c>
      <c r="N1" s="47"/>
      <c r="O1" s="47"/>
      <c r="P1" s="48"/>
      <c r="Q1" s="80" t="s">
        <v>29</v>
      </c>
      <c r="R1" s="80"/>
    </row>
    <row r="2" spans="1:18" ht="18.75" customHeight="1">
      <c r="H2" s="49" t="s">
        <v>10</v>
      </c>
      <c r="I2" s="49"/>
      <c r="J2" s="4">
        <f>IF(J14&gt;0,J13+1,J13)</f>
        <v>48</v>
      </c>
      <c r="K2" s="5">
        <f>ROUND((1*(J2*L2)/144),2)</f>
        <v>20</v>
      </c>
      <c r="L2" s="6">
        <f>IF(L14&gt;0,L13+1,L13)</f>
        <v>60</v>
      </c>
      <c r="M2" s="7"/>
      <c r="N2" s="8" t="s">
        <v>33</v>
      </c>
      <c r="O2" s="9" t="s">
        <v>34</v>
      </c>
      <c r="P2" s="9" t="s">
        <v>35</v>
      </c>
      <c r="Q2" s="10">
        <v>6</v>
      </c>
      <c r="R2" s="11">
        <v>360</v>
      </c>
    </row>
    <row r="3" spans="1:18" ht="18.75" customHeight="1">
      <c r="H3" s="51" t="s">
        <v>30</v>
      </c>
      <c r="I3" s="51"/>
      <c r="J3" s="4" t="str">
        <f>IF(J14&gt;0,J14&amp;"/"&amp;"8","")</f>
        <v/>
      </c>
      <c r="L3" s="5" t="str">
        <f>IF(L14&gt;0,L14&amp;"/"&amp;"8","")</f>
        <v/>
      </c>
      <c r="M3" s="70" t="s">
        <v>26</v>
      </c>
      <c r="N3" s="72">
        <f>L4</f>
        <v>240</v>
      </c>
      <c r="O3" s="72">
        <f>N3+50</f>
        <v>290</v>
      </c>
      <c r="P3" s="72">
        <f>N3+40</f>
        <v>280</v>
      </c>
      <c r="Q3" s="10">
        <v>7.5</v>
      </c>
      <c r="R3" s="11">
        <v>320</v>
      </c>
    </row>
    <row r="4" spans="1:18" ht="18.75" customHeight="1">
      <c r="E4" s="53" t="s">
        <v>32</v>
      </c>
      <c r="F4" s="53"/>
      <c r="G4" s="53"/>
      <c r="H4" s="12" t="s">
        <v>23</v>
      </c>
      <c r="I4" s="13" t="s">
        <v>23</v>
      </c>
      <c r="J4" s="14">
        <f>INDEX(Q2:Q8,(MATCH(K2,Q2:Q8,1)))</f>
        <v>20</v>
      </c>
      <c r="K4" s="1" t="s">
        <v>31</v>
      </c>
      <c r="L4" s="5">
        <f>VLOOKUP(J4,Q2:R8,2,FALSE)</f>
        <v>240</v>
      </c>
      <c r="M4" s="71" t="s">
        <v>19</v>
      </c>
      <c r="N4" s="73">
        <v>75</v>
      </c>
      <c r="O4" s="73">
        <v>85</v>
      </c>
      <c r="P4" s="73">
        <v>85</v>
      </c>
      <c r="Q4" s="10">
        <v>9</v>
      </c>
      <c r="R4" s="11">
        <v>300</v>
      </c>
    </row>
    <row r="5" spans="1:18" ht="18.75" customHeight="1">
      <c r="E5" s="53"/>
      <c r="F5" s="53"/>
      <c r="G5" s="53"/>
      <c r="M5" s="70" t="s">
        <v>27</v>
      </c>
      <c r="N5" s="72">
        <f>N3+20</f>
        <v>260</v>
      </c>
      <c r="O5" s="72">
        <f>N5+50</f>
        <v>310</v>
      </c>
      <c r="P5" s="72">
        <f>N5+40</f>
        <v>300</v>
      </c>
      <c r="Q5" s="10">
        <v>12</v>
      </c>
      <c r="R5" s="11">
        <v>280</v>
      </c>
    </row>
    <row r="6" spans="1:18" ht="18.75" customHeight="1">
      <c r="E6" s="53"/>
      <c r="F6" s="53"/>
      <c r="G6" s="53"/>
      <c r="M6" s="71" t="s">
        <v>13</v>
      </c>
      <c r="N6" s="73">
        <v>30</v>
      </c>
      <c r="O6" s="73">
        <v>30</v>
      </c>
      <c r="P6" s="73">
        <v>30</v>
      </c>
      <c r="Q6" s="10">
        <v>16</v>
      </c>
      <c r="R6" s="11">
        <v>250</v>
      </c>
    </row>
    <row r="7" spans="1:18" ht="18.75" customHeight="1">
      <c r="E7" s="15"/>
      <c r="F7" s="15"/>
      <c r="G7" s="15"/>
      <c r="M7" s="44" t="s">
        <v>28</v>
      </c>
      <c r="N7" s="7">
        <v>50</v>
      </c>
      <c r="O7" s="7">
        <v>50</v>
      </c>
      <c r="P7" s="7">
        <v>50</v>
      </c>
      <c r="Q7" s="10">
        <v>20</v>
      </c>
      <c r="R7" s="11">
        <v>240</v>
      </c>
    </row>
    <row r="8" spans="1:18" ht="18.75" customHeight="1">
      <c r="M8" s="44" t="s">
        <v>38</v>
      </c>
      <c r="N8" s="7">
        <v>40</v>
      </c>
      <c r="O8" s="7">
        <v>40</v>
      </c>
      <c r="P8" s="7">
        <v>40</v>
      </c>
      <c r="Q8" s="10">
        <v>24</v>
      </c>
      <c r="R8" s="11">
        <v>230</v>
      </c>
    </row>
    <row r="9" spans="1:18" ht="18.75" customHeight="1">
      <c r="A9" s="16" t="s">
        <v>17</v>
      </c>
      <c r="B9" s="58" t="str">
        <f>J13&amp;" "&amp;J3&amp;"''"&amp;" "&amp;IF(L13&gt;0," X ","")&amp;" "&amp;L13&amp;" "&amp;L3&amp;"''"</f>
        <v>48 ''  X  60 ''</v>
      </c>
      <c r="C9" s="58"/>
      <c r="D9" s="58"/>
      <c r="E9" s="58"/>
      <c r="F9" s="58"/>
      <c r="G9" s="58"/>
    </row>
    <row r="10" spans="1:18" ht="18.75" customHeight="1">
      <c r="A10" s="16" t="s">
        <v>16</v>
      </c>
      <c r="B10" s="58" t="str">
        <f>ROUND((1*(J2*L2)/144),2)&amp;" Sqft"</f>
        <v>20 Sqft</v>
      </c>
      <c r="C10" s="58"/>
      <c r="D10" s="58"/>
      <c r="E10" s="58"/>
      <c r="F10" s="58"/>
      <c r="G10" s="58"/>
      <c r="I10" s="39"/>
      <c r="J10" s="59" t="s">
        <v>8</v>
      </c>
      <c r="K10" s="59"/>
      <c r="L10" s="59"/>
      <c r="Q10" s="80" t="s">
        <v>24</v>
      </c>
      <c r="R10" s="80"/>
    </row>
    <row r="11" spans="1:18" ht="3.75" customHeight="1">
      <c r="A11" s="17"/>
      <c r="B11" s="17"/>
      <c r="C11" s="17"/>
      <c r="D11" s="17"/>
      <c r="E11" s="17"/>
      <c r="F11" s="17"/>
      <c r="G11" s="17"/>
      <c r="I11" s="39"/>
      <c r="J11" s="59"/>
      <c r="K11" s="59"/>
      <c r="L11" s="59"/>
    </row>
    <row r="12" spans="1:18" ht="18.75" customHeight="1">
      <c r="A12" s="56" t="s">
        <v>15</v>
      </c>
      <c r="B12" s="56" t="str">
        <f>N2</f>
        <v>1.2 mm</v>
      </c>
      <c r="C12" s="56"/>
      <c r="D12" s="56" t="str">
        <f>O2</f>
        <v>1.6 mm</v>
      </c>
      <c r="E12" s="56"/>
      <c r="F12" s="56" t="str">
        <f>P2</f>
        <v>1.2 mm Hindalco</v>
      </c>
      <c r="G12" s="56"/>
      <c r="I12" s="39"/>
      <c r="J12" s="38" t="s">
        <v>0</v>
      </c>
      <c r="K12" s="57" t="s">
        <v>2</v>
      </c>
      <c r="L12" s="38" t="s">
        <v>1</v>
      </c>
      <c r="M12" s="18"/>
    </row>
    <row r="13" spans="1:18" ht="18.75" customHeight="1">
      <c r="A13" s="56"/>
      <c r="B13" s="56"/>
      <c r="C13" s="56"/>
      <c r="D13" s="56"/>
      <c r="E13" s="56"/>
      <c r="F13" s="56"/>
      <c r="G13" s="56"/>
      <c r="I13" s="37" t="s">
        <v>20</v>
      </c>
      <c r="J13" s="41">
        <v>48</v>
      </c>
      <c r="K13" s="57"/>
      <c r="L13" s="41">
        <v>60</v>
      </c>
    </row>
    <row r="14" spans="1:18" ht="18.75" customHeight="1">
      <c r="A14" s="82" t="str">
        <f>M3</f>
        <v>4 MM Clear &amp; Texture Glass</v>
      </c>
      <c r="B14" s="74" t="str">
        <f>"@"&amp;N3</f>
        <v>@240</v>
      </c>
      <c r="C14" s="78">
        <f>N3*$K$2</f>
        <v>4800</v>
      </c>
      <c r="D14" s="74" t="str">
        <f>"@"&amp;O3</f>
        <v>@290</v>
      </c>
      <c r="E14" s="78">
        <f>O3*$K$2</f>
        <v>5800</v>
      </c>
      <c r="F14" s="74" t="str">
        <f>"@"&amp;P3</f>
        <v>@280</v>
      </c>
      <c r="G14" s="78">
        <f>P3*K2</f>
        <v>5600</v>
      </c>
      <c r="H14" s="15"/>
      <c r="I14" s="37" t="s">
        <v>21</v>
      </c>
      <c r="J14" s="41">
        <v>0</v>
      </c>
      <c r="K14" s="57"/>
      <c r="L14" s="41">
        <v>0</v>
      </c>
    </row>
    <row r="15" spans="1:18" ht="18.75" customHeight="1">
      <c r="A15" s="83"/>
      <c r="B15" s="75"/>
      <c r="C15" s="79"/>
      <c r="D15" s="75"/>
      <c r="E15" s="79"/>
      <c r="F15" s="75" t="str">
        <f>"@"&amp;P4</f>
        <v>@85</v>
      </c>
      <c r="G15" s="79">
        <f>IF($H$15=FALSE,,((J2*2)+L2)/12)*P4</f>
        <v>0</v>
      </c>
      <c r="H15" s="19"/>
    </row>
    <row r="16" spans="1:18" ht="18.75" customHeight="1">
      <c r="A16" s="76" t="str">
        <f>M5</f>
        <v>4 MM Reflective Glass</v>
      </c>
      <c r="B16" s="74" t="str">
        <f>"@"&amp;N5</f>
        <v>@260</v>
      </c>
      <c r="C16" s="78">
        <f>N5*$K$2</f>
        <v>5200</v>
      </c>
      <c r="D16" s="74" t="str">
        <f>"@"&amp;O5</f>
        <v>@310</v>
      </c>
      <c r="E16" s="78">
        <f>O5*$K$2</f>
        <v>6200</v>
      </c>
      <c r="F16" s="74" t="str">
        <f>"@"&amp;P5</f>
        <v>@300</v>
      </c>
      <c r="G16" s="78">
        <f>P5*K2</f>
        <v>6000</v>
      </c>
      <c r="H16" s="19"/>
    </row>
    <row r="17" spans="1:17" ht="18.75" customHeight="1">
      <c r="A17" s="87" t="s">
        <v>7</v>
      </c>
      <c r="B17" s="85"/>
      <c r="C17" s="86"/>
      <c r="D17" s="85"/>
      <c r="E17" s="86"/>
      <c r="F17" s="85" t="str">
        <f>"@"&amp;P6</f>
        <v>@30</v>
      </c>
      <c r="G17" s="86">
        <f>IF($H$15=FALSE,,((#REF!*2)+L4)/12)*P6</f>
        <v>0</v>
      </c>
      <c r="H17" s="20"/>
    </row>
    <row r="18" spans="1:17" ht="18.75" customHeight="1">
      <c r="A18" s="64" t="s">
        <v>14</v>
      </c>
      <c r="B18" s="64"/>
      <c r="C18" s="64"/>
      <c r="D18" s="64"/>
      <c r="E18" s="64"/>
      <c r="F18" s="64"/>
      <c r="G18" s="64"/>
      <c r="H18" s="23"/>
    </row>
    <row r="19" spans="1:17" ht="18.75" customHeight="1">
      <c r="A19" s="33" t="str">
        <f>M8</f>
        <v>Brown Coated</v>
      </c>
      <c r="B19" s="31" t="str">
        <f>"@"&amp;N8</f>
        <v>@40</v>
      </c>
      <c r="C19" s="32">
        <f>IF(H19=FALSE,,K2*N8)</f>
        <v>800</v>
      </c>
      <c r="D19" s="31" t="str">
        <f>"@"&amp;N8</f>
        <v>@40</v>
      </c>
      <c r="E19" s="32">
        <f>IF(H19=FALSE,,K2*O8)</f>
        <v>800</v>
      </c>
      <c r="F19" s="31" t="str">
        <f>"@"&amp;P8</f>
        <v>@40</v>
      </c>
      <c r="G19" s="32">
        <f>IF(H19=FALSE,,K2*P8)</f>
        <v>800</v>
      </c>
      <c r="H19" s="19" t="b">
        <v>1</v>
      </c>
      <c r="M19" s="43" t="s">
        <v>41</v>
      </c>
      <c r="N19" s="65"/>
      <c r="O19" s="65"/>
      <c r="P19" s="65"/>
      <c r="Q19" s="65"/>
    </row>
    <row r="20" spans="1:17" ht="18.75" customHeight="1">
      <c r="H20" s="15"/>
      <c r="M20" s="43" t="s">
        <v>40</v>
      </c>
      <c r="N20" s="69" t="str">
        <f>IF(N19="",J13&amp;" "&amp;IF(J14&gt;0,J14&amp;"!8","")&amp;"''"&amp;" "&amp;IF(L13&gt;0,"X","")&amp;"  "&amp; L13&amp;" "&amp;IF(L14&gt;0,L14&amp;"!8","")&amp;"''"&amp;"  3 Track Aluminium Window",N19)</f>
        <v>48 '' X  60 ''  3 Track Aluminium Window</v>
      </c>
      <c r="O20" s="69"/>
      <c r="P20" s="69"/>
      <c r="Q20" s="69"/>
    </row>
    <row r="21" spans="1:17" ht="18.75" customHeight="1">
      <c r="H21" s="15"/>
      <c r="N21" s="15"/>
    </row>
    <row r="22" spans="1:17" ht="18.75" customHeight="1">
      <c r="A22" s="84" t="str">
        <f>L13&amp;" "&amp;L3&amp;"''"</f>
        <v>60 ''</v>
      </c>
      <c r="B22" s="84"/>
      <c r="C22" s="84"/>
      <c r="D22" s="84"/>
      <c r="E22" s="84"/>
      <c r="F22" s="84"/>
      <c r="G22" s="84"/>
      <c r="H22" s="15"/>
    </row>
    <row r="23" spans="1:17" ht="18.75" customHeight="1">
      <c r="A23" s="68" t="str">
        <f>J13&amp;" "&amp;J3&amp;"''"</f>
        <v>48 ''</v>
      </c>
      <c r="B23" s="21"/>
      <c r="C23" s="15"/>
      <c r="D23" s="15"/>
      <c r="E23" s="15"/>
      <c r="F23" s="15"/>
      <c r="G23" s="15"/>
      <c r="H23" s="15"/>
    </row>
    <row r="24" spans="1:17" ht="18.75" customHeight="1">
      <c r="A24" s="68"/>
      <c r="B24" s="21"/>
      <c r="C24" s="15"/>
      <c r="D24" s="15"/>
      <c r="E24" s="15"/>
      <c r="F24" s="15"/>
      <c r="G24" s="15"/>
      <c r="H24" s="15"/>
    </row>
    <row r="25" spans="1:17" ht="18.75" customHeight="1">
      <c r="A25" s="68"/>
      <c r="B25" s="21"/>
      <c r="C25" s="15"/>
      <c r="D25" s="15"/>
      <c r="E25" s="15"/>
      <c r="F25" s="15"/>
      <c r="G25" s="15"/>
      <c r="H25" s="15"/>
    </row>
    <row r="26" spans="1:17" ht="18.75" customHeight="1">
      <c r="A26" s="68"/>
      <c r="B26" s="21"/>
      <c r="C26" s="15"/>
      <c r="D26" s="15"/>
      <c r="E26" s="15"/>
      <c r="F26" s="15"/>
      <c r="G26" s="15"/>
      <c r="H26" s="15"/>
    </row>
    <row r="27" spans="1:17" ht="18.75" customHeight="1">
      <c r="A27" s="68"/>
      <c r="B27" s="21"/>
      <c r="C27" s="15"/>
      <c r="D27" s="15"/>
      <c r="E27" s="15"/>
      <c r="F27" s="15"/>
      <c r="G27" s="15"/>
      <c r="H27" s="15"/>
    </row>
    <row r="28" spans="1:17" ht="18.75" customHeight="1">
      <c r="A28" s="68"/>
      <c r="B28" s="21"/>
      <c r="C28" s="15"/>
      <c r="D28" s="15"/>
      <c r="E28" s="15"/>
      <c r="F28" s="15"/>
      <c r="G28" s="15"/>
      <c r="H28" s="15"/>
    </row>
    <row r="29" spans="1:17" ht="18.75" customHeight="1">
      <c r="A29" s="68"/>
      <c r="B29" s="21"/>
      <c r="C29" s="15"/>
      <c r="D29" s="15"/>
      <c r="E29" s="15"/>
      <c r="F29" s="15"/>
      <c r="G29" s="15"/>
      <c r="H29" s="15"/>
    </row>
    <row r="30" spans="1:17" ht="18.75" customHeight="1">
      <c r="A30" s="68"/>
      <c r="B30" s="21"/>
      <c r="C30" s="15"/>
      <c r="D30" s="15"/>
      <c r="E30" s="15"/>
      <c r="F30" s="15"/>
      <c r="G30" s="15"/>
      <c r="H30" s="15"/>
    </row>
    <row r="31" spans="1:17" ht="18.75" customHeight="1">
      <c r="A31" s="68"/>
      <c r="B31" s="21"/>
    </row>
    <row r="32" spans="1:17" ht="18.75" customHeight="1">
      <c r="A32" s="68"/>
      <c r="K32" s="22"/>
    </row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</sheetData>
  <sheetProtection algorithmName="SHA-512" hashValue="yc2xFoZg1ATBQERQxG7ISSC/t7Hh5WVLSs/4TbBbSJOV2a9Dhk2i2TF5dN2M7iWdcWGger/QT3UWNl1BToyFVQ==" saltValue="q52C/antUeOWZYdMjwrEvQ==" spinCount="100000" sheet="1" objects="1" scenarios="1"/>
  <protectedRanges>
    <protectedRange algorithmName="SHA-512" hashValue="GfkuDy6KsBg5nHixqQsipXxpydqfQWkjGf7lDqChlGvt3phRN3Cy8tvzJjrtv0AzxeirPDKBLjXOhujs5XZoHw==" saltValue="z8J9kd8tEbe89f8DkhjaNw==" spinCount="100000" sqref="M2:R8" name="rates"/>
  </protectedRanges>
  <mergeCells count="42">
    <mergeCell ref="A22:G22"/>
    <mergeCell ref="A23:A32"/>
    <mergeCell ref="F16:F17"/>
    <mergeCell ref="G16:G17"/>
    <mergeCell ref="A18:G18"/>
    <mergeCell ref="A16:A17"/>
    <mergeCell ref="B16:B17"/>
    <mergeCell ref="C16:C17"/>
    <mergeCell ref="D16:D17"/>
    <mergeCell ref="E16:E17"/>
    <mergeCell ref="B9:G9"/>
    <mergeCell ref="C14:C15"/>
    <mergeCell ref="D14:D15"/>
    <mergeCell ref="E14:E15"/>
    <mergeCell ref="F14:F15"/>
    <mergeCell ref="G14:G15"/>
    <mergeCell ref="B10:G10"/>
    <mergeCell ref="J10:L11"/>
    <mergeCell ref="A12:A13"/>
    <mergeCell ref="B12:C13"/>
    <mergeCell ref="D12:E13"/>
    <mergeCell ref="F12:G13"/>
    <mergeCell ref="K12:K14"/>
    <mergeCell ref="A14:A15"/>
    <mergeCell ref="B14:B15"/>
    <mergeCell ref="E4:G6"/>
    <mergeCell ref="H1:I1"/>
    <mergeCell ref="M1:P1"/>
    <mergeCell ref="Q1:R1"/>
    <mergeCell ref="H2:I2"/>
    <mergeCell ref="H3:I3"/>
    <mergeCell ref="M3:M4"/>
    <mergeCell ref="N3:N4"/>
    <mergeCell ref="O3:O4"/>
    <mergeCell ref="P3:P4"/>
    <mergeCell ref="Q10:R10"/>
    <mergeCell ref="N19:Q19"/>
    <mergeCell ref="N20:Q20"/>
    <mergeCell ref="M5:M6"/>
    <mergeCell ref="N5:N6"/>
    <mergeCell ref="O5:O6"/>
    <mergeCell ref="P5:P6"/>
  </mergeCells>
  <dataValidations disablePrompts="1" count="1">
    <dataValidation type="whole" errorStyle="warning" allowBlank="1" showDropDown="1" showInputMessage="1" showErrorMessage="1" errorTitle="Invalid Data, Input ( 0 To 8 )" error="Soot Can Only Be Between 0 To 8 As It Is Defined as -_x000a__x000a_1 Soot = 1 Inch/8" promptTitle="Type Your Measured Soot - if any" sqref="J14 L14" xr:uid="{48BAA3F1-3354-4DFB-8560-459F44325BE1}">
      <formula1>0</formula1>
      <formula2>8</formula2>
    </dataValidation>
  </dataValidations>
  <printOptions horizontalCentered="1" verticalCentered="1"/>
  <pageMargins left="0" right="0" top="0" bottom="0" header="0" footer="0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Aluminium Door</vt:lpstr>
      <vt:lpstr>2 Track Window</vt:lpstr>
      <vt:lpstr>3 Track Window</vt:lpstr>
      <vt:lpstr>'2 Track Window'!Print_Area</vt:lpstr>
      <vt:lpstr>'3 Track Window'!Print_Area</vt:lpstr>
      <vt:lpstr>'Aluminium Door'!Print_Area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Stark</dc:creator>
  <cp:lastModifiedBy>HARSH AGARWAL (RA2311003012246)</cp:lastModifiedBy>
  <cp:lastPrinted>2025-08-22T07:53:27Z</cp:lastPrinted>
  <dcterms:created xsi:type="dcterms:W3CDTF">2019-06-23T11:52:45Z</dcterms:created>
  <dcterms:modified xsi:type="dcterms:W3CDTF">2025-11-18T17:34:22Z</dcterms:modified>
</cp:coreProperties>
</file>